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ee21ap_leeds_ac_uk/Documents/UKMRIO_2025/MRIO/data/inputs/"/>
    </mc:Choice>
  </mc:AlternateContent>
  <xr:revisionPtr revIDLastSave="12" documentId="13_ncr:40009_{0B2DFF69-44A2-4024-B6B7-4F32353D2BE5}" xr6:coauthVersionLast="47" xr6:coauthVersionMax="47" xr10:uidLastSave="{ABADB5FD-49BC-467A-B0FE-F949716302A3}"/>
  <bookViews>
    <workbookView xWindow="-90" yWindow="-16320" windowWidth="29040" windowHeight="15840" activeTab="1" xr2:uid="{00000000-000D-0000-FFFF-FFFF00000000}"/>
  </bookViews>
  <sheets>
    <sheet name="gdp_cont" sheetId="2" r:id="rId1"/>
    <sheet name="sector_to_si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15" i="1" l="1"/>
  <c r="AA115" i="1"/>
  <c r="Z115" i="1"/>
  <c r="Y115" i="1"/>
  <c r="X115" i="1"/>
  <c r="W115" i="1"/>
  <c r="V115" i="1"/>
  <c r="U115" i="1"/>
  <c r="AB113" i="1"/>
  <c r="AA113" i="1"/>
  <c r="Z113" i="1"/>
  <c r="Y113" i="1"/>
  <c r="X113" i="1"/>
  <c r="W113" i="1"/>
  <c r="V113" i="1"/>
  <c r="U113" i="1"/>
  <c r="AB112" i="1"/>
  <c r="AA112" i="1"/>
  <c r="Z112" i="1"/>
  <c r="Y112" i="1"/>
  <c r="X112" i="1"/>
  <c r="W112" i="1"/>
  <c r="V112" i="1"/>
  <c r="U112" i="1"/>
  <c r="AB111" i="1"/>
  <c r="AA111" i="1"/>
  <c r="Z111" i="1"/>
  <c r="Y111" i="1"/>
  <c r="X111" i="1"/>
  <c r="W111" i="1"/>
  <c r="V111" i="1"/>
  <c r="U111" i="1"/>
  <c r="AB110" i="1"/>
  <c r="AA110" i="1"/>
  <c r="Z110" i="1"/>
  <c r="Y110" i="1"/>
  <c r="X110" i="1"/>
  <c r="W110" i="1"/>
  <c r="V110" i="1"/>
  <c r="U110" i="1"/>
  <c r="AB109" i="1"/>
  <c r="AA109" i="1"/>
  <c r="Z109" i="1"/>
  <c r="Y109" i="1"/>
  <c r="X109" i="1"/>
  <c r="W109" i="1"/>
  <c r="V109" i="1"/>
  <c r="U109" i="1"/>
  <c r="AB108" i="1"/>
  <c r="AA108" i="1"/>
  <c r="Z108" i="1"/>
  <c r="Y108" i="1"/>
  <c r="X108" i="1"/>
  <c r="W108" i="1"/>
  <c r="V108" i="1"/>
  <c r="U108" i="1"/>
  <c r="AB107" i="1"/>
  <c r="AA107" i="1"/>
  <c r="Z107" i="1"/>
  <c r="Y107" i="1"/>
  <c r="X107" i="1"/>
  <c r="W107" i="1"/>
  <c r="V107" i="1"/>
  <c r="U107" i="1"/>
  <c r="AB106" i="1"/>
  <c r="AA106" i="1"/>
  <c r="Z106" i="1"/>
  <c r="Y106" i="1"/>
  <c r="X106" i="1"/>
  <c r="W106" i="1"/>
  <c r="V106" i="1"/>
  <c r="U106" i="1"/>
  <c r="AB105" i="1"/>
  <c r="AA105" i="1"/>
  <c r="Z105" i="1"/>
  <c r="Y105" i="1"/>
  <c r="X105" i="1"/>
  <c r="W105" i="1"/>
  <c r="V105" i="1"/>
  <c r="U105" i="1"/>
  <c r="AB104" i="1"/>
  <c r="AA104" i="1"/>
  <c r="Z104" i="1"/>
  <c r="Y104" i="1"/>
  <c r="X104" i="1"/>
  <c r="W104" i="1"/>
  <c r="V104" i="1"/>
  <c r="U104" i="1"/>
  <c r="AB103" i="1"/>
  <c r="AA103" i="1"/>
  <c r="Z103" i="1"/>
  <c r="Y103" i="1"/>
  <c r="X103" i="1"/>
  <c r="W103" i="1"/>
  <c r="V103" i="1"/>
  <c r="U103" i="1"/>
  <c r="AB102" i="1"/>
  <c r="AA102" i="1"/>
  <c r="Z102" i="1"/>
  <c r="Y102" i="1"/>
  <c r="X102" i="1"/>
  <c r="W102" i="1"/>
  <c r="V102" i="1"/>
  <c r="U102" i="1"/>
  <c r="AB101" i="1"/>
  <c r="AA101" i="1"/>
  <c r="Z101" i="1"/>
  <c r="Y101" i="1"/>
  <c r="X101" i="1"/>
  <c r="W101" i="1"/>
  <c r="V101" i="1"/>
  <c r="U101" i="1"/>
  <c r="AB100" i="1"/>
  <c r="AA100" i="1"/>
  <c r="Z100" i="1"/>
  <c r="Y100" i="1"/>
  <c r="X100" i="1"/>
  <c r="W100" i="1"/>
  <c r="V100" i="1"/>
  <c r="U100" i="1"/>
  <c r="AB99" i="1"/>
  <c r="AA99" i="1"/>
  <c r="Z99" i="1"/>
  <c r="Y99" i="1"/>
  <c r="X99" i="1"/>
  <c r="W99" i="1"/>
  <c r="V99" i="1"/>
  <c r="U99" i="1"/>
  <c r="AB98" i="1"/>
  <c r="AA98" i="1"/>
  <c r="Z98" i="1"/>
  <c r="Y98" i="1"/>
  <c r="X98" i="1"/>
  <c r="W98" i="1"/>
  <c r="V98" i="1"/>
  <c r="U98" i="1"/>
  <c r="AB97" i="1"/>
  <c r="AA97" i="1"/>
  <c r="Z97" i="1"/>
  <c r="Y97" i="1"/>
  <c r="X97" i="1"/>
  <c r="W97" i="1"/>
  <c r="V97" i="1"/>
  <c r="U97" i="1"/>
  <c r="AB96" i="1"/>
  <c r="AA96" i="1"/>
  <c r="Z96" i="1"/>
  <c r="Y96" i="1"/>
  <c r="X96" i="1"/>
  <c r="W96" i="1"/>
  <c r="V96" i="1"/>
  <c r="U96" i="1"/>
  <c r="AB95" i="1"/>
  <c r="AA95" i="1"/>
  <c r="Z95" i="1"/>
  <c r="Y95" i="1"/>
  <c r="X95" i="1"/>
  <c r="W95" i="1"/>
  <c r="V95" i="1"/>
  <c r="U95" i="1"/>
  <c r="AB94" i="1"/>
  <c r="AA94" i="1"/>
  <c r="Z94" i="1"/>
  <c r="Y94" i="1"/>
  <c r="X94" i="1"/>
  <c r="W94" i="1"/>
  <c r="V94" i="1"/>
  <c r="U94" i="1"/>
  <c r="AB93" i="1"/>
  <c r="AA93" i="1"/>
  <c r="Z93" i="1"/>
  <c r="Y93" i="1"/>
  <c r="X93" i="1"/>
  <c r="W93" i="1"/>
  <c r="V93" i="1"/>
  <c r="U93" i="1"/>
  <c r="AB92" i="1"/>
  <c r="AA92" i="1"/>
  <c r="Z92" i="1"/>
  <c r="Y92" i="1"/>
  <c r="X92" i="1"/>
  <c r="W92" i="1"/>
  <c r="V92" i="1"/>
  <c r="U92" i="1"/>
  <c r="AB91" i="1"/>
  <c r="AA91" i="1"/>
  <c r="Z91" i="1"/>
  <c r="Y91" i="1"/>
  <c r="X91" i="1"/>
  <c r="W91" i="1"/>
  <c r="V91" i="1"/>
  <c r="U91" i="1"/>
  <c r="AB90" i="1"/>
  <c r="AA90" i="1"/>
  <c r="Z90" i="1"/>
  <c r="Y90" i="1"/>
  <c r="X90" i="1"/>
  <c r="W90" i="1"/>
  <c r="V90" i="1"/>
  <c r="U90" i="1"/>
  <c r="AB89" i="1"/>
  <c r="AA89" i="1"/>
  <c r="Z89" i="1"/>
  <c r="Y89" i="1"/>
  <c r="X89" i="1"/>
  <c r="W89" i="1"/>
  <c r="V89" i="1"/>
  <c r="U89" i="1"/>
  <c r="AB88" i="1"/>
  <c r="AA88" i="1"/>
  <c r="Z88" i="1"/>
  <c r="Y88" i="1"/>
  <c r="X88" i="1"/>
  <c r="W88" i="1"/>
  <c r="V88" i="1"/>
  <c r="U88" i="1"/>
  <c r="AB87" i="1"/>
  <c r="AA87" i="1"/>
  <c r="Z87" i="1"/>
  <c r="Y87" i="1"/>
  <c r="X87" i="1"/>
  <c r="W87" i="1"/>
  <c r="V87" i="1"/>
  <c r="U87" i="1"/>
  <c r="AB86" i="1"/>
  <c r="AA86" i="1"/>
  <c r="Z86" i="1"/>
  <c r="Y86" i="1"/>
  <c r="X86" i="1"/>
  <c r="W86" i="1"/>
  <c r="V86" i="1"/>
  <c r="U86" i="1"/>
  <c r="AB85" i="1"/>
  <c r="AA85" i="1"/>
  <c r="Z85" i="1"/>
  <c r="Y85" i="1"/>
  <c r="X85" i="1"/>
  <c r="W85" i="1"/>
  <c r="V85" i="1"/>
  <c r="U85" i="1"/>
  <c r="AB84" i="1"/>
  <c r="AA84" i="1"/>
  <c r="Z84" i="1"/>
  <c r="Y84" i="1"/>
  <c r="X84" i="1"/>
  <c r="W84" i="1"/>
  <c r="V84" i="1"/>
  <c r="U84" i="1"/>
  <c r="AB83" i="1"/>
  <c r="AA83" i="1"/>
  <c r="Z83" i="1"/>
  <c r="Y83" i="1"/>
  <c r="X83" i="1"/>
  <c r="W83" i="1"/>
  <c r="V83" i="1"/>
  <c r="U83" i="1"/>
  <c r="AB82" i="1"/>
  <c r="AA82" i="1"/>
  <c r="Z82" i="1"/>
  <c r="Y82" i="1"/>
  <c r="X82" i="1"/>
  <c r="W82" i="1"/>
  <c r="V82" i="1"/>
  <c r="U82" i="1"/>
  <c r="AB81" i="1"/>
  <c r="AA81" i="1"/>
  <c r="Z81" i="1"/>
  <c r="Y81" i="1"/>
  <c r="X81" i="1"/>
  <c r="W81" i="1"/>
  <c r="V81" i="1"/>
  <c r="U81" i="1"/>
  <c r="AB80" i="1"/>
  <c r="AA80" i="1"/>
  <c r="Z80" i="1"/>
  <c r="Y80" i="1"/>
  <c r="X80" i="1"/>
  <c r="W80" i="1"/>
  <c r="V80" i="1"/>
  <c r="U80" i="1"/>
  <c r="AB79" i="1"/>
  <c r="AA79" i="1"/>
  <c r="Z79" i="1"/>
  <c r="Y79" i="1"/>
  <c r="X79" i="1"/>
  <c r="W79" i="1"/>
  <c r="V79" i="1"/>
  <c r="U79" i="1"/>
  <c r="AB78" i="1"/>
  <c r="AA78" i="1"/>
  <c r="Z78" i="1"/>
  <c r="Y78" i="1"/>
  <c r="X78" i="1"/>
  <c r="W78" i="1"/>
  <c r="V78" i="1"/>
  <c r="U78" i="1"/>
  <c r="AB77" i="1"/>
  <c r="AA77" i="1"/>
  <c r="Z77" i="1"/>
  <c r="Y77" i="1"/>
  <c r="X77" i="1"/>
  <c r="W77" i="1"/>
  <c r="V77" i="1"/>
  <c r="U77" i="1"/>
  <c r="AB76" i="1"/>
  <c r="AA76" i="1"/>
  <c r="Z76" i="1"/>
  <c r="Y76" i="1"/>
  <c r="X76" i="1"/>
  <c r="W76" i="1"/>
  <c r="V76" i="1"/>
  <c r="U76" i="1"/>
  <c r="AB75" i="1"/>
  <c r="AA75" i="1"/>
  <c r="Z75" i="1"/>
  <c r="Y75" i="1"/>
  <c r="X75" i="1"/>
  <c r="W75" i="1"/>
  <c r="V75" i="1"/>
  <c r="U75" i="1"/>
  <c r="AB74" i="1"/>
  <c r="AA74" i="1"/>
  <c r="Z74" i="1"/>
  <c r="Y74" i="1"/>
  <c r="X74" i="1"/>
  <c r="W74" i="1"/>
  <c r="V74" i="1"/>
  <c r="U74" i="1"/>
  <c r="AB73" i="1"/>
  <c r="AA73" i="1"/>
  <c r="Z73" i="1"/>
  <c r="Y73" i="1"/>
  <c r="X73" i="1"/>
  <c r="W73" i="1"/>
  <c r="V73" i="1"/>
  <c r="U73" i="1"/>
  <c r="AB72" i="1"/>
  <c r="AA72" i="1"/>
  <c r="Z72" i="1"/>
  <c r="Y72" i="1"/>
  <c r="X72" i="1"/>
  <c r="W72" i="1"/>
  <c r="V72" i="1"/>
  <c r="U72" i="1"/>
  <c r="AB71" i="1"/>
  <c r="AA71" i="1"/>
  <c r="Z71" i="1"/>
  <c r="Y71" i="1"/>
  <c r="X71" i="1"/>
  <c r="W71" i="1"/>
  <c r="V71" i="1"/>
  <c r="U71" i="1"/>
  <c r="AB70" i="1"/>
  <c r="AA70" i="1"/>
  <c r="Z70" i="1"/>
  <c r="Y70" i="1"/>
  <c r="X70" i="1"/>
  <c r="W70" i="1"/>
  <c r="V70" i="1"/>
  <c r="U70" i="1"/>
  <c r="AB69" i="1"/>
  <c r="AA69" i="1"/>
  <c r="Z69" i="1"/>
  <c r="Y69" i="1"/>
  <c r="X69" i="1"/>
  <c r="W69" i="1"/>
  <c r="V69" i="1"/>
  <c r="U69" i="1"/>
  <c r="AB68" i="1"/>
  <c r="AA68" i="1"/>
  <c r="Z68" i="1"/>
  <c r="Y68" i="1"/>
  <c r="X68" i="1"/>
  <c r="W68" i="1"/>
  <c r="V68" i="1"/>
  <c r="U68" i="1"/>
  <c r="AB67" i="1"/>
  <c r="AA67" i="1"/>
  <c r="Z67" i="1"/>
  <c r="Y67" i="1"/>
  <c r="X67" i="1"/>
  <c r="W67" i="1"/>
  <c r="V67" i="1"/>
  <c r="U67" i="1"/>
  <c r="AB66" i="1"/>
  <c r="AA66" i="1"/>
  <c r="Z66" i="1"/>
  <c r="Y66" i="1"/>
  <c r="X66" i="1"/>
  <c r="W66" i="1"/>
  <c r="V66" i="1"/>
  <c r="U66" i="1"/>
  <c r="AB65" i="1"/>
  <c r="AA65" i="1"/>
  <c r="Z65" i="1"/>
  <c r="Y65" i="1"/>
  <c r="X65" i="1"/>
  <c r="W65" i="1"/>
  <c r="V65" i="1"/>
  <c r="U65" i="1"/>
  <c r="AB64" i="1"/>
  <c r="AA64" i="1"/>
  <c r="Z64" i="1"/>
  <c r="Y64" i="1"/>
  <c r="X64" i="1"/>
  <c r="W64" i="1"/>
  <c r="V64" i="1"/>
  <c r="U64" i="1"/>
  <c r="AB63" i="1"/>
  <c r="AA63" i="1"/>
  <c r="Z63" i="1"/>
  <c r="Y63" i="1"/>
  <c r="X63" i="1"/>
  <c r="W63" i="1"/>
  <c r="V63" i="1"/>
  <c r="U63" i="1"/>
  <c r="AB62" i="1"/>
  <c r="AA62" i="1"/>
  <c r="Z62" i="1"/>
  <c r="Y62" i="1"/>
  <c r="X62" i="1"/>
  <c r="W62" i="1"/>
  <c r="V62" i="1"/>
  <c r="U62" i="1"/>
  <c r="AB61" i="1"/>
  <c r="AA61" i="1"/>
  <c r="Z61" i="1"/>
  <c r="Y61" i="1"/>
  <c r="X61" i="1"/>
  <c r="W61" i="1"/>
  <c r="V61" i="1"/>
  <c r="U61" i="1"/>
  <c r="AB60" i="1"/>
  <c r="AA60" i="1"/>
  <c r="Z60" i="1"/>
  <c r="Y60" i="1"/>
  <c r="X60" i="1"/>
  <c r="W60" i="1"/>
  <c r="V60" i="1"/>
  <c r="U60" i="1"/>
  <c r="AB59" i="1"/>
  <c r="AA59" i="1"/>
  <c r="Z59" i="1"/>
  <c r="Y59" i="1"/>
  <c r="X59" i="1"/>
  <c r="W59" i="1"/>
  <c r="V59" i="1"/>
  <c r="U59" i="1"/>
  <c r="AB58" i="1"/>
  <c r="AA58" i="1"/>
  <c r="Z58" i="1"/>
  <c r="Y58" i="1"/>
  <c r="X58" i="1"/>
  <c r="W58" i="1"/>
  <c r="V58" i="1"/>
  <c r="U58" i="1"/>
  <c r="AB57" i="1"/>
  <c r="AA57" i="1"/>
  <c r="Z57" i="1"/>
  <c r="Y57" i="1"/>
  <c r="X57" i="1"/>
  <c r="W57" i="1"/>
  <c r="V57" i="1"/>
  <c r="U57" i="1"/>
  <c r="AB56" i="1"/>
  <c r="AA56" i="1"/>
  <c r="Z56" i="1"/>
  <c r="Y56" i="1"/>
  <c r="X56" i="1"/>
  <c r="W56" i="1"/>
  <c r="V56" i="1"/>
  <c r="U56" i="1"/>
  <c r="AB55" i="1"/>
  <c r="AA55" i="1"/>
  <c r="Z55" i="1"/>
  <c r="Y55" i="1"/>
  <c r="X55" i="1"/>
  <c r="W55" i="1"/>
  <c r="V55" i="1"/>
  <c r="U55" i="1"/>
  <c r="AB54" i="1"/>
  <c r="AA54" i="1"/>
  <c r="Z54" i="1"/>
  <c r="Y54" i="1"/>
  <c r="X54" i="1"/>
  <c r="W54" i="1"/>
  <c r="V54" i="1"/>
  <c r="U54" i="1"/>
  <c r="AB53" i="1"/>
  <c r="AA53" i="1"/>
  <c r="Z53" i="1"/>
  <c r="Y53" i="1"/>
  <c r="X53" i="1"/>
  <c r="W53" i="1"/>
  <c r="V53" i="1"/>
  <c r="U53" i="1"/>
  <c r="AB52" i="1"/>
  <c r="AA52" i="1"/>
  <c r="Z52" i="1"/>
  <c r="Y52" i="1"/>
  <c r="X52" i="1"/>
  <c r="W52" i="1"/>
  <c r="V52" i="1"/>
  <c r="U52" i="1"/>
  <c r="AB51" i="1"/>
  <c r="AA51" i="1"/>
  <c r="Z51" i="1"/>
  <c r="Y51" i="1"/>
  <c r="X51" i="1"/>
  <c r="W51" i="1"/>
  <c r="V51" i="1"/>
  <c r="U51" i="1"/>
  <c r="AB50" i="1"/>
  <c r="AA50" i="1"/>
  <c r="Z50" i="1"/>
  <c r="Y50" i="1"/>
  <c r="X50" i="1"/>
  <c r="W50" i="1"/>
  <c r="V50" i="1"/>
  <c r="U50" i="1"/>
  <c r="AB49" i="1"/>
  <c r="AA49" i="1"/>
  <c r="Z49" i="1"/>
  <c r="Y49" i="1"/>
  <c r="X49" i="1"/>
  <c r="W49" i="1"/>
  <c r="V49" i="1"/>
  <c r="U49" i="1"/>
  <c r="AB48" i="1"/>
  <c r="AA48" i="1"/>
  <c r="Z48" i="1"/>
  <c r="Y48" i="1"/>
  <c r="X48" i="1"/>
  <c r="W48" i="1"/>
  <c r="V48" i="1"/>
  <c r="U48" i="1"/>
  <c r="AB47" i="1"/>
  <c r="AA47" i="1"/>
  <c r="Z47" i="1"/>
  <c r="Y47" i="1"/>
  <c r="X47" i="1"/>
  <c r="W47" i="1"/>
  <c r="V47" i="1"/>
  <c r="U47" i="1"/>
  <c r="AB46" i="1"/>
  <c r="AA46" i="1"/>
  <c r="Z46" i="1"/>
  <c r="Y46" i="1"/>
  <c r="X46" i="1"/>
  <c r="W46" i="1"/>
  <c r="V46" i="1"/>
  <c r="U46" i="1"/>
  <c r="AB45" i="1"/>
  <c r="AA45" i="1"/>
  <c r="Z45" i="1"/>
  <c r="Y45" i="1"/>
  <c r="X45" i="1"/>
  <c r="W45" i="1"/>
  <c r="V45" i="1"/>
  <c r="U45" i="1"/>
  <c r="AB44" i="1"/>
  <c r="AA44" i="1"/>
  <c r="Z44" i="1"/>
  <c r="Y44" i="1"/>
  <c r="X44" i="1"/>
  <c r="W44" i="1"/>
  <c r="V44" i="1"/>
  <c r="U44" i="1"/>
  <c r="AB43" i="1"/>
  <c r="AA43" i="1"/>
  <c r="Z43" i="1"/>
  <c r="Y43" i="1"/>
  <c r="X43" i="1"/>
  <c r="W43" i="1"/>
  <c r="V43" i="1"/>
  <c r="U43" i="1"/>
  <c r="AB42" i="1"/>
  <c r="AA42" i="1"/>
  <c r="Z42" i="1"/>
  <c r="Y42" i="1"/>
  <c r="X42" i="1"/>
  <c r="W42" i="1"/>
  <c r="V42" i="1"/>
  <c r="U42" i="1"/>
  <c r="AB41" i="1"/>
  <c r="AA41" i="1"/>
  <c r="Z41" i="1"/>
  <c r="Y41" i="1"/>
  <c r="X41" i="1"/>
  <c r="W41" i="1"/>
  <c r="V41" i="1"/>
  <c r="U41" i="1"/>
  <c r="AB40" i="1"/>
  <c r="AA40" i="1"/>
  <c r="Z40" i="1"/>
  <c r="Y40" i="1"/>
  <c r="X40" i="1"/>
  <c r="W40" i="1"/>
  <c r="V40" i="1"/>
  <c r="U40" i="1"/>
  <c r="AB39" i="1"/>
  <c r="AA39" i="1"/>
  <c r="Z39" i="1"/>
  <c r="Y39" i="1"/>
  <c r="X39" i="1"/>
  <c r="W39" i="1"/>
  <c r="V39" i="1"/>
  <c r="U39" i="1"/>
  <c r="AB38" i="1"/>
  <c r="AA38" i="1"/>
  <c r="Z38" i="1"/>
  <c r="Y38" i="1"/>
  <c r="X38" i="1"/>
  <c r="W38" i="1"/>
  <c r="V38" i="1"/>
  <c r="U38" i="1"/>
  <c r="AB37" i="1"/>
  <c r="AA37" i="1"/>
  <c r="Z37" i="1"/>
  <c r="Y37" i="1"/>
  <c r="X37" i="1"/>
  <c r="W37" i="1"/>
  <c r="V37" i="1"/>
  <c r="U37" i="1"/>
  <c r="AB36" i="1"/>
  <c r="AA36" i="1"/>
  <c r="Z36" i="1"/>
  <c r="Y36" i="1"/>
  <c r="X36" i="1"/>
  <c r="W36" i="1"/>
  <c r="V36" i="1"/>
  <c r="U36" i="1"/>
  <c r="AB35" i="1"/>
  <c r="AA35" i="1"/>
  <c r="Z35" i="1"/>
  <c r="Y35" i="1"/>
  <c r="X35" i="1"/>
  <c r="W35" i="1"/>
  <c r="V35" i="1"/>
  <c r="U35" i="1"/>
  <c r="AB34" i="1"/>
  <c r="AA34" i="1"/>
  <c r="Z34" i="1"/>
  <c r="Y34" i="1"/>
  <c r="X34" i="1"/>
  <c r="W34" i="1"/>
  <c r="V34" i="1"/>
  <c r="U34" i="1"/>
  <c r="AB33" i="1"/>
  <c r="AA33" i="1"/>
  <c r="Z33" i="1"/>
  <c r="Y33" i="1"/>
  <c r="X33" i="1"/>
  <c r="W33" i="1"/>
  <c r="V33" i="1"/>
  <c r="U33" i="1"/>
  <c r="AB32" i="1"/>
  <c r="AA32" i="1"/>
  <c r="Z32" i="1"/>
  <c r="Y32" i="1"/>
  <c r="X32" i="1"/>
  <c r="W32" i="1"/>
  <c r="V32" i="1"/>
  <c r="U32" i="1"/>
  <c r="AB31" i="1"/>
  <c r="AA31" i="1"/>
  <c r="Z31" i="1"/>
  <c r="Y31" i="1"/>
  <c r="X31" i="1"/>
  <c r="W31" i="1"/>
  <c r="V31" i="1"/>
  <c r="U31" i="1"/>
  <c r="AB30" i="1"/>
  <c r="AA30" i="1"/>
  <c r="Z30" i="1"/>
  <c r="Y30" i="1"/>
  <c r="X30" i="1"/>
  <c r="W30" i="1"/>
  <c r="V30" i="1"/>
  <c r="U30" i="1"/>
  <c r="AB29" i="1"/>
  <c r="AA29" i="1"/>
  <c r="Z29" i="1"/>
  <c r="Y29" i="1"/>
  <c r="X29" i="1"/>
  <c r="W29" i="1"/>
  <c r="V29" i="1"/>
  <c r="U29" i="1"/>
  <c r="AB28" i="1"/>
  <c r="AA28" i="1"/>
  <c r="Z28" i="1"/>
  <c r="Y28" i="1"/>
  <c r="X28" i="1"/>
  <c r="W28" i="1"/>
  <c r="V28" i="1"/>
  <c r="U28" i="1"/>
  <c r="AB27" i="1"/>
  <c r="AA27" i="1"/>
  <c r="Z27" i="1"/>
  <c r="Y27" i="1"/>
  <c r="X27" i="1"/>
  <c r="W27" i="1"/>
  <c r="V27" i="1"/>
  <c r="U27" i="1"/>
  <c r="AB26" i="1"/>
  <c r="AA26" i="1"/>
  <c r="Z26" i="1"/>
  <c r="Y26" i="1"/>
  <c r="X26" i="1"/>
  <c r="W26" i="1"/>
  <c r="V26" i="1"/>
  <c r="U26" i="1"/>
  <c r="AB25" i="1"/>
  <c r="AA25" i="1"/>
  <c r="Z25" i="1"/>
  <c r="Y25" i="1"/>
  <c r="X25" i="1"/>
  <c r="W25" i="1"/>
  <c r="V25" i="1"/>
  <c r="U25" i="1"/>
  <c r="AB24" i="1"/>
  <c r="AA24" i="1"/>
  <c r="Z24" i="1"/>
  <c r="Y24" i="1"/>
  <c r="X24" i="1"/>
  <c r="W24" i="1"/>
  <c r="V24" i="1"/>
  <c r="U24" i="1"/>
  <c r="AB23" i="1"/>
  <c r="AA23" i="1"/>
  <c r="Z23" i="1"/>
  <c r="Y23" i="1"/>
  <c r="X23" i="1"/>
  <c r="W23" i="1"/>
  <c r="V23" i="1"/>
  <c r="U23" i="1"/>
  <c r="AB22" i="1"/>
  <c r="AA22" i="1"/>
  <c r="Z22" i="1"/>
  <c r="Y22" i="1"/>
  <c r="X22" i="1"/>
  <c r="W22" i="1"/>
  <c r="V22" i="1"/>
  <c r="U22" i="1"/>
  <c r="AB21" i="1"/>
  <c r="AA21" i="1"/>
  <c r="Z21" i="1"/>
  <c r="Y21" i="1"/>
  <c r="X21" i="1"/>
  <c r="W21" i="1"/>
  <c r="V21" i="1"/>
  <c r="U21" i="1"/>
  <c r="AB20" i="1"/>
  <c r="AA20" i="1"/>
  <c r="Z20" i="1"/>
  <c r="Y20" i="1"/>
  <c r="X20" i="1"/>
  <c r="W20" i="1"/>
  <c r="V20" i="1"/>
  <c r="U20" i="1"/>
  <c r="AB19" i="1"/>
  <c r="AA19" i="1"/>
  <c r="Z19" i="1"/>
  <c r="Y19" i="1"/>
  <c r="X19" i="1"/>
  <c r="W19" i="1"/>
  <c r="V19" i="1"/>
  <c r="U19" i="1"/>
  <c r="AB18" i="1"/>
  <c r="AA18" i="1"/>
  <c r="Z18" i="1"/>
  <c r="Y18" i="1"/>
  <c r="X18" i="1"/>
  <c r="W18" i="1"/>
  <c r="V18" i="1"/>
  <c r="U18" i="1"/>
  <c r="AB17" i="1"/>
  <c r="AA17" i="1"/>
  <c r="Z17" i="1"/>
  <c r="Y17" i="1"/>
  <c r="X17" i="1"/>
  <c r="W17" i="1"/>
  <c r="V17" i="1"/>
  <c r="U17" i="1"/>
  <c r="AB16" i="1"/>
  <c r="AA16" i="1"/>
  <c r="Z16" i="1"/>
  <c r="Y16" i="1"/>
  <c r="X16" i="1"/>
  <c r="W16" i="1"/>
  <c r="V16" i="1"/>
  <c r="U16" i="1"/>
  <c r="AB15" i="1"/>
  <c r="AA15" i="1"/>
  <c r="Z15" i="1"/>
  <c r="Y15" i="1"/>
  <c r="X15" i="1"/>
  <c r="W15" i="1"/>
  <c r="V15" i="1"/>
  <c r="U15" i="1"/>
  <c r="AB14" i="1"/>
  <c r="AA14" i="1"/>
  <c r="Z14" i="1"/>
  <c r="Y14" i="1"/>
  <c r="X14" i="1"/>
  <c r="W14" i="1"/>
  <c r="V14" i="1"/>
  <c r="U14" i="1"/>
  <c r="AB13" i="1"/>
  <c r="AA13" i="1"/>
  <c r="Z13" i="1"/>
  <c r="Y13" i="1"/>
  <c r="X13" i="1"/>
  <c r="W13" i="1"/>
  <c r="V13" i="1"/>
  <c r="U13" i="1"/>
  <c r="AB12" i="1"/>
  <c r="AA12" i="1"/>
  <c r="Z12" i="1"/>
  <c r="Y12" i="1"/>
  <c r="X12" i="1"/>
  <c r="W12" i="1"/>
  <c r="V12" i="1"/>
  <c r="U12" i="1"/>
  <c r="AB11" i="1"/>
  <c r="AA11" i="1"/>
  <c r="Z11" i="1"/>
  <c r="Y11" i="1"/>
  <c r="X11" i="1"/>
  <c r="W11" i="1"/>
  <c r="V11" i="1"/>
  <c r="U11" i="1"/>
  <c r="AB10" i="1"/>
  <c r="AA10" i="1"/>
  <c r="Z10" i="1"/>
  <c r="Y10" i="1"/>
  <c r="X10" i="1"/>
  <c r="W10" i="1"/>
  <c r="V10" i="1"/>
  <c r="U10" i="1"/>
  <c r="AB9" i="1"/>
  <c r="AA9" i="1"/>
  <c r="Z9" i="1"/>
  <c r="Y9" i="1"/>
  <c r="X9" i="1"/>
  <c r="W9" i="1"/>
  <c r="V9" i="1"/>
  <c r="U9" i="1"/>
  <c r="AB8" i="1"/>
  <c r="AA8" i="1"/>
  <c r="Z8" i="1"/>
  <c r="Y8" i="1"/>
  <c r="X8" i="1"/>
  <c r="W8" i="1"/>
  <c r="V8" i="1"/>
  <c r="U8" i="1"/>
  <c r="AB7" i="1"/>
  <c r="AA7" i="1"/>
  <c r="Z7" i="1"/>
  <c r="Y7" i="1"/>
  <c r="X7" i="1"/>
  <c r="W7" i="1"/>
  <c r="V7" i="1"/>
  <c r="U7" i="1"/>
  <c r="AB6" i="1"/>
  <c r="AA6" i="1"/>
  <c r="Z6" i="1"/>
  <c r="Y6" i="1"/>
  <c r="X6" i="1"/>
  <c r="W6" i="1"/>
  <c r="V6" i="1"/>
  <c r="U6" i="1"/>
  <c r="AB5" i="1"/>
  <c r="AA5" i="1"/>
  <c r="Z5" i="1"/>
  <c r="Y5" i="1"/>
  <c r="X5" i="1"/>
  <c r="W5" i="1"/>
  <c r="V5" i="1"/>
  <c r="U5" i="1"/>
  <c r="AB4" i="1"/>
  <c r="AA4" i="1"/>
  <c r="Z4" i="1"/>
  <c r="Y4" i="1"/>
  <c r="X4" i="1"/>
  <c r="W4" i="1"/>
  <c r="V4" i="1"/>
  <c r="U4" i="1"/>
  <c r="AB3" i="1"/>
  <c r="AA3" i="1"/>
  <c r="Z3" i="1"/>
  <c r="Y3" i="1"/>
  <c r="X3" i="1"/>
  <c r="W3" i="1"/>
  <c r="V3" i="1"/>
  <c r="U3" i="1"/>
  <c r="AB2" i="1"/>
  <c r="AA2" i="1"/>
  <c r="Z2" i="1"/>
  <c r="Y2" i="1"/>
  <c r="X2" i="1"/>
  <c r="W2" i="1"/>
  <c r="V2" i="1"/>
  <c r="U2" i="1"/>
  <c r="C2" i="1"/>
  <c r="I23" i="2"/>
  <c r="H23" i="2"/>
  <c r="G23" i="2"/>
  <c r="F23" i="2"/>
  <c r="E23" i="2"/>
  <c r="D23" i="2"/>
  <c r="C23" i="2"/>
  <c r="B23" i="2"/>
  <c r="C115" i="1"/>
  <c r="J115" i="1"/>
  <c r="I115" i="1"/>
  <c r="H115" i="1"/>
  <c r="G115" i="1"/>
  <c r="F115" i="1"/>
  <c r="E115" i="1"/>
  <c r="D115" i="1"/>
  <c r="S2" i="2"/>
  <c r="U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C24" i="1"/>
  <c r="L24" i="1" s="1"/>
  <c r="D24" i="1"/>
  <c r="M24" i="1" s="1"/>
  <c r="E24" i="1"/>
  <c r="N24" i="1" s="1"/>
  <c r="F24" i="1"/>
  <c r="O24" i="1" s="1"/>
  <c r="G24" i="1"/>
  <c r="P24" i="1" s="1"/>
  <c r="H24" i="1"/>
  <c r="Q24" i="1" s="1"/>
  <c r="I24" i="1"/>
  <c r="R24" i="1" s="1"/>
  <c r="J24" i="1"/>
  <c r="S24" i="1" s="1"/>
  <c r="C25" i="1"/>
  <c r="L25" i="1" s="1"/>
  <c r="D25" i="1"/>
  <c r="M25" i="1" s="1"/>
  <c r="E25" i="1"/>
  <c r="N25" i="1" s="1"/>
  <c r="F25" i="1"/>
  <c r="O25" i="1" s="1"/>
  <c r="G25" i="1"/>
  <c r="P25" i="1" s="1"/>
  <c r="H25" i="1"/>
  <c r="Q25" i="1" s="1"/>
  <c r="I25" i="1"/>
  <c r="R25" i="1" s="1"/>
  <c r="J25" i="1"/>
  <c r="S25" i="1" s="1"/>
  <c r="C26" i="1"/>
  <c r="L26" i="1" s="1"/>
  <c r="D26" i="1"/>
  <c r="M26" i="1" s="1"/>
  <c r="E26" i="1"/>
  <c r="N26" i="1" s="1"/>
  <c r="F26" i="1"/>
  <c r="O26" i="1" s="1"/>
  <c r="G26" i="1"/>
  <c r="P26" i="1" s="1"/>
  <c r="H26" i="1"/>
  <c r="Q26" i="1" s="1"/>
  <c r="I26" i="1"/>
  <c r="R26" i="1" s="1"/>
  <c r="J26" i="1"/>
  <c r="S26" i="1" s="1"/>
  <c r="C27" i="1"/>
  <c r="L27" i="1" s="1"/>
  <c r="D27" i="1"/>
  <c r="M27" i="1" s="1"/>
  <c r="E27" i="1"/>
  <c r="N27" i="1" s="1"/>
  <c r="F27" i="1"/>
  <c r="O27" i="1" s="1"/>
  <c r="G27" i="1"/>
  <c r="P27" i="1" s="1"/>
  <c r="H27" i="1"/>
  <c r="Q27" i="1" s="1"/>
  <c r="I27" i="1"/>
  <c r="R27" i="1" s="1"/>
  <c r="J27" i="1"/>
  <c r="S27" i="1" s="1"/>
  <c r="C28" i="1"/>
  <c r="L28" i="1" s="1"/>
  <c r="D28" i="1"/>
  <c r="M28" i="1" s="1"/>
  <c r="E28" i="1"/>
  <c r="N28" i="1" s="1"/>
  <c r="F28" i="1"/>
  <c r="O28" i="1" s="1"/>
  <c r="G28" i="1"/>
  <c r="P28" i="1" s="1"/>
  <c r="H28" i="1"/>
  <c r="Q28" i="1" s="1"/>
  <c r="I28" i="1"/>
  <c r="R28" i="1" s="1"/>
  <c r="J28" i="1"/>
  <c r="S28" i="1" s="1"/>
  <c r="C29" i="1"/>
  <c r="L29" i="1" s="1"/>
  <c r="D29" i="1"/>
  <c r="M29" i="1" s="1"/>
  <c r="E29" i="1"/>
  <c r="N29" i="1" s="1"/>
  <c r="F29" i="1"/>
  <c r="O29" i="1" s="1"/>
  <c r="G29" i="1"/>
  <c r="P29" i="1" s="1"/>
  <c r="H29" i="1"/>
  <c r="Q29" i="1" s="1"/>
  <c r="I29" i="1"/>
  <c r="R29" i="1" s="1"/>
  <c r="J29" i="1"/>
  <c r="S29" i="1" s="1"/>
  <c r="C30" i="1"/>
  <c r="L30" i="1" s="1"/>
  <c r="D30" i="1"/>
  <c r="M30" i="1" s="1"/>
  <c r="E30" i="1"/>
  <c r="N30" i="1" s="1"/>
  <c r="F30" i="1"/>
  <c r="O30" i="1" s="1"/>
  <c r="G30" i="1"/>
  <c r="P30" i="1" s="1"/>
  <c r="H30" i="1"/>
  <c r="Q30" i="1" s="1"/>
  <c r="I30" i="1"/>
  <c r="R30" i="1" s="1"/>
  <c r="J30" i="1"/>
  <c r="S30" i="1" s="1"/>
  <c r="C31" i="1"/>
  <c r="L31" i="1" s="1"/>
  <c r="D31" i="1"/>
  <c r="M31" i="1" s="1"/>
  <c r="E31" i="1"/>
  <c r="N31" i="1" s="1"/>
  <c r="F31" i="1"/>
  <c r="O31" i="1" s="1"/>
  <c r="G31" i="1"/>
  <c r="P31" i="1" s="1"/>
  <c r="H31" i="1"/>
  <c r="Q31" i="1" s="1"/>
  <c r="I31" i="1"/>
  <c r="R31" i="1" s="1"/>
  <c r="J31" i="1"/>
  <c r="S31" i="1" s="1"/>
  <c r="C32" i="1"/>
  <c r="L32" i="1" s="1"/>
  <c r="D32" i="1"/>
  <c r="M32" i="1" s="1"/>
  <c r="E32" i="1"/>
  <c r="N32" i="1" s="1"/>
  <c r="F32" i="1"/>
  <c r="O32" i="1" s="1"/>
  <c r="G32" i="1"/>
  <c r="P32" i="1" s="1"/>
  <c r="H32" i="1"/>
  <c r="Q32" i="1" s="1"/>
  <c r="I32" i="1"/>
  <c r="R32" i="1" s="1"/>
  <c r="J32" i="1"/>
  <c r="S32" i="1" s="1"/>
  <c r="C33" i="1"/>
  <c r="L33" i="1" s="1"/>
  <c r="D33" i="1"/>
  <c r="M33" i="1" s="1"/>
  <c r="E33" i="1"/>
  <c r="N33" i="1" s="1"/>
  <c r="F33" i="1"/>
  <c r="O33" i="1" s="1"/>
  <c r="G33" i="1"/>
  <c r="P33" i="1" s="1"/>
  <c r="H33" i="1"/>
  <c r="Q33" i="1" s="1"/>
  <c r="I33" i="1"/>
  <c r="R33" i="1" s="1"/>
  <c r="J33" i="1"/>
  <c r="S33" i="1" s="1"/>
  <c r="C34" i="1"/>
  <c r="L34" i="1" s="1"/>
  <c r="D34" i="1"/>
  <c r="M34" i="1" s="1"/>
  <c r="E34" i="1"/>
  <c r="N34" i="1" s="1"/>
  <c r="F34" i="1"/>
  <c r="O34" i="1" s="1"/>
  <c r="G34" i="1"/>
  <c r="P34" i="1" s="1"/>
  <c r="H34" i="1"/>
  <c r="Q34" i="1" s="1"/>
  <c r="I34" i="1"/>
  <c r="R34" i="1" s="1"/>
  <c r="J34" i="1"/>
  <c r="S34" i="1" s="1"/>
  <c r="C35" i="1"/>
  <c r="L35" i="1" s="1"/>
  <c r="D35" i="1"/>
  <c r="M35" i="1" s="1"/>
  <c r="E35" i="1"/>
  <c r="N35" i="1" s="1"/>
  <c r="F35" i="1"/>
  <c r="O35" i="1" s="1"/>
  <c r="G35" i="1"/>
  <c r="P35" i="1" s="1"/>
  <c r="H35" i="1"/>
  <c r="Q35" i="1" s="1"/>
  <c r="I35" i="1"/>
  <c r="R35" i="1" s="1"/>
  <c r="J35" i="1"/>
  <c r="S35" i="1" s="1"/>
  <c r="C36" i="1"/>
  <c r="L36" i="1" s="1"/>
  <c r="D36" i="1"/>
  <c r="M36" i="1" s="1"/>
  <c r="E36" i="1"/>
  <c r="N36" i="1" s="1"/>
  <c r="F36" i="1"/>
  <c r="O36" i="1" s="1"/>
  <c r="G36" i="1"/>
  <c r="P36" i="1" s="1"/>
  <c r="H36" i="1"/>
  <c r="Q36" i="1" s="1"/>
  <c r="I36" i="1"/>
  <c r="R36" i="1" s="1"/>
  <c r="J36" i="1"/>
  <c r="S36" i="1" s="1"/>
  <c r="C37" i="1"/>
  <c r="L37" i="1" s="1"/>
  <c r="D37" i="1"/>
  <c r="M37" i="1" s="1"/>
  <c r="E37" i="1"/>
  <c r="N37" i="1" s="1"/>
  <c r="F37" i="1"/>
  <c r="O37" i="1" s="1"/>
  <c r="G37" i="1"/>
  <c r="P37" i="1" s="1"/>
  <c r="H37" i="1"/>
  <c r="Q37" i="1" s="1"/>
  <c r="I37" i="1"/>
  <c r="R37" i="1" s="1"/>
  <c r="J37" i="1"/>
  <c r="S37" i="1" s="1"/>
  <c r="C38" i="1"/>
  <c r="L38" i="1" s="1"/>
  <c r="D38" i="1"/>
  <c r="M38" i="1" s="1"/>
  <c r="E38" i="1"/>
  <c r="N38" i="1" s="1"/>
  <c r="F38" i="1"/>
  <c r="O38" i="1" s="1"/>
  <c r="G38" i="1"/>
  <c r="P38" i="1" s="1"/>
  <c r="H38" i="1"/>
  <c r="Q38" i="1" s="1"/>
  <c r="I38" i="1"/>
  <c r="R38" i="1" s="1"/>
  <c r="J38" i="1"/>
  <c r="S38" i="1" s="1"/>
  <c r="C39" i="1"/>
  <c r="L39" i="1" s="1"/>
  <c r="D39" i="1"/>
  <c r="M39" i="1" s="1"/>
  <c r="E39" i="1"/>
  <c r="N39" i="1" s="1"/>
  <c r="F39" i="1"/>
  <c r="O39" i="1" s="1"/>
  <c r="G39" i="1"/>
  <c r="P39" i="1" s="1"/>
  <c r="H39" i="1"/>
  <c r="Q39" i="1" s="1"/>
  <c r="I39" i="1"/>
  <c r="R39" i="1" s="1"/>
  <c r="J39" i="1"/>
  <c r="S39" i="1" s="1"/>
  <c r="C40" i="1"/>
  <c r="L40" i="1" s="1"/>
  <c r="D40" i="1"/>
  <c r="M40" i="1" s="1"/>
  <c r="E40" i="1"/>
  <c r="N40" i="1" s="1"/>
  <c r="F40" i="1"/>
  <c r="O40" i="1" s="1"/>
  <c r="G40" i="1"/>
  <c r="P40" i="1" s="1"/>
  <c r="H40" i="1"/>
  <c r="Q40" i="1" s="1"/>
  <c r="I40" i="1"/>
  <c r="R40" i="1" s="1"/>
  <c r="J40" i="1"/>
  <c r="S40" i="1" s="1"/>
  <c r="C41" i="1"/>
  <c r="L41" i="1" s="1"/>
  <c r="D41" i="1"/>
  <c r="M41" i="1" s="1"/>
  <c r="E41" i="1"/>
  <c r="N41" i="1" s="1"/>
  <c r="F41" i="1"/>
  <c r="O41" i="1" s="1"/>
  <c r="G41" i="1"/>
  <c r="P41" i="1" s="1"/>
  <c r="H41" i="1"/>
  <c r="Q41" i="1" s="1"/>
  <c r="I41" i="1"/>
  <c r="R41" i="1" s="1"/>
  <c r="J41" i="1"/>
  <c r="S41" i="1" s="1"/>
  <c r="C42" i="1"/>
  <c r="L42" i="1" s="1"/>
  <c r="D42" i="1"/>
  <c r="M42" i="1" s="1"/>
  <c r="E42" i="1"/>
  <c r="N42" i="1" s="1"/>
  <c r="F42" i="1"/>
  <c r="O42" i="1" s="1"/>
  <c r="G42" i="1"/>
  <c r="P42" i="1" s="1"/>
  <c r="H42" i="1"/>
  <c r="Q42" i="1" s="1"/>
  <c r="I42" i="1"/>
  <c r="R42" i="1" s="1"/>
  <c r="J42" i="1"/>
  <c r="S42" i="1" s="1"/>
  <c r="C43" i="1"/>
  <c r="L43" i="1" s="1"/>
  <c r="D43" i="1"/>
  <c r="M43" i="1" s="1"/>
  <c r="E43" i="1"/>
  <c r="N43" i="1" s="1"/>
  <c r="F43" i="1"/>
  <c r="O43" i="1" s="1"/>
  <c r="G43" i="1"/>
  <c r="P43" i="1" s="1"/>
  <c r="H43" i="1"/>
  <c r="Q43" i="1" s="1"/>
  <c r="I43" i="1"/>
  <c r="R43" i="1" s="1"/>
  <c r="J43" i="1"/>
  <c r="S43" i="1" s="1"/>
  <c r="C44" i="1"/>
  <c r="L44" i="1" s="1"/>
  <c r="D44" i="1"/>
  <c r="M44" i="1" s="1"/>
  <c r="E44" i="1"/>
  <c r="N44" i="1" s="1"/>
  <c r="F44" i="1"/>
  <c r="O44" i="1" s="1"/>
  <c r="G44" i="1"/>
  <c r="P44" i="1" s="1"/>
  <c r="H44" i="1"/>
  <c r="Q44" i="1" s="1"/>
  <c r="I44" i="1"/>
  <c r="R44" i="1" s="1"/>
  <c r="J44" i="1"/>
  <c r="S44" i="1" s="1"/>
  <c r="C45" i="1"/>
  <c r="L45" i="1" s="1"/>
  <c r="D45" i="1"/>
  <c r="M45" i="1" s="1"/>
  <c r="E45" i="1"/>
  <c r="N45" i="1" s="1"/>
  <c r="F45" i="1"/>
  <c r="O45" i="1" s="1"/>
  <c r="G45" i="1"/>
  <c r="P45" i="1" s="1"/>
  <c r="H45" i="1"/>
  <c r="Q45" i="1" s="1"/>
  <c r="I45" i="1"/>
  <c r="R45" i="1" s="1"/>
  <c r="J45" i="1"/>
  <c r="S45" i="1" s="1"/>
  <c r="C46" i="1"/>
  <c r="L46" i="1" s="1"/>
  <c r="D46" i="1"/>
  <c r="M46" i="1" s="1"/>
  <c r="E46" i="1"/>
  <c r="N46" i="1" s="1"/>
  <c r="F46" i="1"/>
  <c r="O46" i="1" s="1"/>
  <c r="G46" i="1"/>
  <c r="P46" i="1" s="1"/>
  <c r="H46" i="1"/>
  <c r="Q46" i="1" s="1"/>
  <c r="I46" i="1"/>
  <c r="R46" i="1" s="1"/>
  <c r="J46" i="1"/>
  <c r="S46" i="1" s="1"/>
  <c r="C47" i="1"/>
  <c r="L47" i="1" s="1"/>
  <c r="D47" i="1"/>
  <c r="M47" i="1" s="1"/>
  <c r="E47" i="1"/>
  <c r="N47" i="1" s="1"/>
  <c r="F47" i="1"/>
  <c r="O47" i="1" s="1"/>
  <c r="G47" i="1"/>
  <c r="P47" i="1" s="1"/>
  <c r="H47" i="1"/>
  <c r="Q47" i="1" s="1"/>
  <c r="I47" i="1"/>
  <c r="R47" i="1" s="1"/>
  <c r="J47" i="1"/>
  <c r="S47" i="1" s="1"/>
  <c r="C48" i="1"/>
  <c r="L48" i="1" s="1"/>
  <c r="D48" i="1"/>
  <c r="M48" i="1" s="1"/>
  <c r="E48" i="1"/>
  <c r="N48" i="1" s="1"/>
  <c r="F48" i="1"/>
  <c r="O48" i="1" s="1"/>
  <c r="G48" i="1"/>
  <c r="P48" i="1" s="1"/>
  <c r="H48" i="1"/>
  <c r="Q48" i="1" s="1"/>
  <c r="I48" i="1"/>
  <c r="R48" i="1" s="1"/>
  <c r="J48" i="1"/>
  <c r="S48" i="1" s="1"/>
  <c r="C49" i="1"/>
  <c r="L49" i="1" s="1"/>
  <c r="D49" i="1"/>
  <c r="M49" i="1" s="1"/>
  <c r="E49" i="1"/>
  <c r="N49" i="1" s="1"/>
  <c r="F49" i="1"/>
  <c r="O49" i="1" s="1"/>
  <c r="G49" i="1"/>
  <c r="P49" i="1" s="1"/>
  <c r="H49" i="1"/>
  <c r="Q49" i="1" s="1"/>
  <c r="I49" i="1"/>
  <c r="R49" i="1" s="1"/>
  <c r="J49" i="1"/>
  <c r="S49" i="1" s="1"/>
  <c r="C50" i="1"/>
  <c r="L50" i="1" s="1"/>
  <c r="D50" i="1"/>
  <c r="M50" i="1" s="1"/>
  <c r="E50" i="1"/>
  <c r="N50" i="1" s="1"/>
  <c r="F50" i="1"/>
  <c r="O50" i="1" s="1"/>
  <c r="G50" i="1"/>
  <c r="P50" i="1" s="1"/>
  <c r="H50" i="1"/>
  <c r="Q50" i="1" s="1"/>
  <c r="I50" i="1"/>
  <c r="R50" i="1" s="1"/>
  <c r="J50" i="1"/>
  <c r="S50" i="1" s="1"/>
  <c r="C51" i="1"/>
  <c r="L51" i="1" s="1"/>
  <c r="D51" i="1"/>
  <c r="M51" i="1" s="1"/>
  <c r="E51" i="1"/>
  <c r="N51" i="1" s="1"/>
  <c r="F51" i="1"/>
  <c r="O51" i="1" s="1"/>
  <c r="G51" i="1"/>
  <c r="P51" i="1" s="1"/>
  <c r="H51" i="1"/>
  <c r="Q51" i="1" s="1"/>
  <c r="I51" i="1"/>
  <c r="R51" i="1" s="1"/>
  <c r="J51" i="1"/>
  <c r="S51" i="1" s="1"/>
  <c r="C52" i="1"/>
  <c r="L52" i="1" s="1"/>
  <c r="D52" i="1"/>
  <c r="M52" i="1" s="1"/>
  <c r="E52" i="1"/>
  <c r="N52" i="1" s="1"/>
  <c r="F52" i="1"/>
  <c r="O52" i="1" s="1"/>
  <c r="G52" i="1"/>
  <c r="P52" i="1" s="1"/>
  <c r="H52" i="1"/>
  <c r="Q52" i="1" s="1"/>
  <c r="I52" i="1"/>
  <c r="R52" i="1" s="1"/>
  <c r="J52" i="1"/>
  <c r="S52" i="1" s="1"/>
  <c r="C53" i="1"/>
  <c r="L53" i="1" s="1"/>
  <c r="D53" i="1"/>
  <c r="M53" i="1" s="1"/>
  <c r="E53" i="1"/>
  <c r="N53" i="1" s="1"/>
  <c r="F53" i="1"/>
  <c r="O53" i="1" s="1"/>
  <c r="G53" i="1"/>
  <c r="P53" i="1" s="1"/>
  <c r="H53" i="1"/>
  <c r="Q53" i="1" s="1"/>
  <c r="I53" i="1"/>
  <c r="R53" i="1" s="1"/>
  <c r="J53" i="1"/>
  <c r="S53" i="1" s="1"/>
  <c r="C54" i="1"/>
  <c r="L54" i="1" s="1"/>
  <c r="D54" i="1"/>
  <c r="M54" i="1" s="1"/>
  <c r="E54" i="1"/>
  <c r="N54" i="1" s="1"/>
  <c r="F54" i="1"/>
  <c r="O54" i="1" s="1"/>
  <c r="G54" i="1"/>
  <c r="P54" i="1" s="1"/>
  <c r="H54" i="1"/>
  <c r="Q54" i="1" s="1"/>
  <c r="I54" i="1"/>
  <c r="R54" i="1" s="1"/>
  <c r="J54" i="1"/>
  <c r="S54" i="1" s="1"/>
  <c r="C55" i="1"/>
  <c r="L55" i="1" s="1"/>
  <c r="D55" i="1"/>
  <c r="M55" i="1" s="1"/>
  <c r="E55" i="1"/>
  <c r="N55" i="1" s="1"/>
  <c r="F55" i="1"/>
  <c r="O55" i="1" s="1"/>
  <c r="G55" i="1"/>
  <c r="P55" i="1" s="1"/>
  <c r="H55" i="1"/>
  <c r="Q55" i="1" s="1"/>
  <c r="I55" i="1"/>
  <c r="R55" i="1" s="1"/>
  <c r="J55" i="1"/>
  <c r="S55" i="1" s="1"/>
  <c r="C56" i="1"/>
  <c r="L56" i="1" s="1"/>
  <c r="D56" i="1"/>
  <c r="M56" i="1" s="1"/>
  <c r="E56" i="1"/>
  <c r="N56" i="1" s="1"/>
  <c r="F56" i="1"/>
  <c r="O56" i="1" s="1"/>
  <c r="G56" i="1"/>
  <c r="P56" i="1" s="1"/>
  <c r="H56" i="1"/>
  <c r="Q56" i="1" s="1"/>
  <c r="I56" i="1"/>
  <c r="R56" i="1" s="1"/>
  <c r="J56" i="1"/>
  <c r="S56" i="1" s="1"/>
  <c r="C57" i="1"/>
  <c r="L57" i="1" s="1"/>
  <c r="D57" i="1"/>
  <c r="M57" i="1" s="1"/>
  <c r="E57" i="1"/>
  <c r="N57" i="1" s="1"/>
  <c r="F57" i="1"/>
  <c r="O57" i="1" s="1"/>
  <c r="G57" i="1"/>
  <c r="P57" i="1" s="1"/>
  <c r="H57" i="1"/>
  <c r="Q57" i="1" s="1"/>
  <c r="I57" i="1"/>
  <c r="R57" i="1" s="1"/>
  <c r="J57" i="1"/>
  <c r="S57" i="1" s="1"/>
  <c r="C58" i="1"/>
  <c r="L58" i="1" s="1"/>
  <c r="D58" i="1"/>
  <c r="M58" i="1" s="1"/>
  <c r="E58" i="1"/>
  <c r="N58" i="1" s="1"/>
  <c r="F58" i="1"/>
  <c r="O58" i="1" s="1"/>
  <c r="G58" i="1"/>
  <c r="P58" i="1" s="1"/>
  <c r="H58" i="1"/>
  <c r="Q58" i="1" s="1"/>
  <c r="I58" i="1"/>
  <c r="R58" i="1" s="1"/>
  <c r="J58" i="1"/>
  <c r="S58" i="1" s="1"/>
  <c r="C59" i="1"/>
  <c r="L59" i="1" s="1"/>
  <c r="D59" i="1"/>
  <c r="M59" i="1" s="1"/>
  <c r="E59" i="1"/>
  <c r="N59" i="1" s="1"/>
  <c r="F59" i="1"/>
  <c r="O59" i="1" s="1"/>
  <c r="G59" i="1"/>
  <c r="P59" i="1" s="1"/>
  <c r="H59" i="1"/>
  <c r="Q59" i="1" s="1"/>
  <c r="I59" i="1"/>
  <c r="R59" i="1" s="1"/>
  <c r="J59" i="1"/>
  <c r="S59" i="1" s="1"/>
  <c r="C60" i="1"/>
  <c r="L60" i="1" s="1"/>
  <c r="D60" i="1"/>
  <c r="M60" i="1" s="1"/>
  <c r="E60" i="1"/>
  <c r="N60" i="1" s="1"/>
  <c r="F60" i="1"/>
  <c r="O60" i="1" s="1"/>
  <c r="G60" i="1"/>
  <c r="P60" i="1" s="1"/>
  <c r="H60" i="1"/>
  <c r="Q60" i="1" s="1"/>
  <c r="I60" i="1"/>
  <c r="R60" i="1" s="1"/>
  <c r="J60" i="1"/>
  <c r="S60" i="1" s="1"/>
  <c r="C61" i="1"/>
  <c r="L61" i="1" s="1"/>
  <c r="D61" i="1"/>
  <c r="M61" i="1" s="1"/>
  <c r="E61" i="1"/>
  <c r="N61" i="1" s="1"/>
  <c r="F61" i="1"/>
  <c r="O61" i="1" s="1"/>
  <c r="G61" i="1"/>
  <c r="P61" i="1" s="1"/>
  <c r="H61" i="1"/>
  <c r="Q61" i="1" s="1"/>
  <c r="I61" i="1"/>
  <c r="R61" i="1" s="1"/>
  <c r="J61" i="1"/>
  <c r="S61" i="1" s="1"/>
  <c r="C62" i="1"/>
  <c r="L62" i="1" s="1"/>
  <c r="D62" i="1"/>
  <c r="M62" i="1" s="1"/>
  <c r="E62" i="1"/>
  <c r="N62" i="1" s="1"/>
  <c r="F62" i="1"/>
  <c r="O62" i="1" s="1"/>
  <c r="G62" i="1"/>
  <c r="P62" i="1" s="1"/>
  <c r="H62" i="1"/>
  <c r="Q62" i="1" s="1"/>
  <c r="I62" i="1"/>
  <c r="R62" i="1" s="1"/>
  <c r="J62" i="1"/>
  <c r="S62" i="1" s="1"/>
  <c r="C63" i="1"/>
  <c r="L63" i="1" s="1"/>
  <c r="D63" i="1"/>
  <c r="M63" i="1" s="1"/>
  <c r="E63" i="1"/>
  <c r="N63" i="1" s="1"/>
  <c r="F63" i="1"/>
  <c r="O63" i="1" s="1"/>
  <c r="G63" i="1"/>
  <c r="P63" i="1" s="1"/>
  <c r="H63" i="1"/>
  <c r="Q63" i="1" s="1"/>
  <c r="I63" i="1"/>
  <c r="R63" i="1" s="1"/>
  <c r="J63" i="1"/>
  <c r="S63" i="1" s="1"/>
  <c r="C64" i="1"/>
  <c r="L64" i="1" s="1"/>
  <c r="D64" i="1"/>
  <c r="M64" i="1" s="1"/>
  <c r="E64" i="1"/>
  <c r="N64" i="1" s="1"/>
  <c r="F64" i="1"/>
  <c r="O64" i="1" s="1"/>
  <c r="G64" i="1"/>
  <c r="P64" i="1" s="1"/>
  <c r="H64" i="1"/>
  <c r="Q64" i="1" s="1"/>
  <c r="I64" i="1"/>
  <c r="R64" i="1" s="1"/>
  <c r="J64" i="1"/>
  <c r="S64" i="1" s="1"/>
  <c r="C65" i="1"/>
  <c r="L65" i="1" s="1"/>
  <c r="D65" i="1"/>
  <c r="M65" i="1" s="1"/>
  <c r="E65" i="1"/>
  <c r="N65" i="1" s="1"/>
  <c r="F65" i="1"/>
  <c r="O65" i="1" s="1"/>
  <c r="G65" i="1"/>
  <c r="P65" i="1" s="1"/>
  <c r="H65" i="1"/>
  <c r="Q65" i="1" s="1"/>
  <c r="I65" i="1"/>
  <c r="R65" i="1" s="1"/>
  <c r="J65" i="1"/>
  <c r="S65" i="1" s="1"/>
  <c r="C66" i="1"/>
  <c r="L66" i="1" s="1"/>
  <c r="D66" i="1"/>
  <c r="M66" i="1" s="1"/>
  <c r="E66" i="1"/>
  <c r="N66" i="1" s="1"/>
  <c r="F66" i="1"/>
  <c r="O66" i="1" s="1"/>
  <c r="G66" i="1"/>
  <c r="P66" i="1" s="1"/>
  <c r="H66" i="1"/>
  <c r="Q66" i="1" s="1"/>
  <c r="I66" i="1"/>
  <c r="R66" i="1" s="1"/>
  <c r="J66" i="1"/>
  <c r="S66" i="1" s="1"/>
  <c r="C67" i="1"/>
  <c r="L67" i="1" s="1"/>
  <c r="D67" i="1"/>
  <c r="M67" i="1" s="1"/>
  <c r="E67" i="1"/>
  <c r="N67" i="1" s="1"/>
  <c r="F67" i="1"/>
  <c r="O67" i="1" s="1"/>
  <c r="G67" i="1"/>
  <c r="P67" i="1" s="1"/>
  <c r="H67" i="1"/>
  <c r="Q67" i="1" s="1"/>
  <c r="I67" i="1"/>
  <c r="R67" i="1" s="1"/>
  <c r="J67" i="1"/>
  <c r="S67" i="1" s="1"/>
  <c r="C68" i="1"/>
  <c r="L68" i="1" s="1"/>
  <c r="D68" i="1"/>
  <c r="M68" i="1" s="1"/>
  <c r="E68" i="1"/>
  <c r="N68" i="1" s="1"/>
  <c r="F68" i="1"/>
  <c r="O68" i="1" s="1"/>
  <c r="G68" i="1"/>
  <c r="P68" i="1" s="1"/>
  <c r="H68" i="1"/>
  <c r="Q68" i="1" s="1"/>
  <c r="I68" i="1"/>
  <c r="R68" i="1" s="1"/>
  <c r="J68" i="1"/>
  <c r="S68" i="1" s="1"/>
  <c r="C69" i="1"/>
  <c r="L69" i="1" s="1"/>
  <c r="D69" i="1"/>
  <c r="M69" i="1" s="1"/>
  <c r="E69" i="1"/>
  <c r="N69" i="1" s="1"/>
  <c r="F69" i="1"/>
  <c r="O69" i="1" s="1"/>
  <c r="G69" i="1"/>
  <c r="P69" i="1" s="1"/>
  <c r="H69" i="1"/>
  <c r="Q69" i="1" s="1"/>
  <c r="I69" i="1"/>
  <c r="R69" i="1" s="1"/>
  <c r="J69" i="1"/>
  <c r="S69" i="1" s="1"/>
  <c r="C70" i="1"/>
  <c r="L70" i="1" s="1"/>
  <c r="D70" i="1"/>
  <c r="M70" i="1" s="1"/>
  <c r="E70" i="1"/>
  <c r="N70" i="1" s="1"/>
  <c r="F70" i="1"/>
  <c r="O70" i="1" s="1"/>
  <c r="G70" i="1"/>
  <c r="P70" i="1" s="1"/>
  <c r="H70" i="1"/>
  <c r="Q70" i="1" s="1"/>
  <c r="I70" i="1"/>
  <c r="R70" i="1" s="1"/>
  <c r="J70" i="1"/>
  <c r="S70" i="1" s="1"/>
  <c r="C71" i="1"/>
  <c r="L71" i="1" s="1"/>
  <c r="D71" i="1"/>
  <c r="M71" i="1" s="1"/>
  <c r="E71" i="1"/>
  <c r="N71" i="1" s="1"/>
  <c r="F71" i="1"/>
  <c r="O71" i="1" s="1"/>
  <c r="G71" i="1"/>
  <c r="P71" i="1" s="1"/>
  <c r="H71" i="1"/>
  <c r="Q71" i="1" s="1"/>
  <c r="I71" i="1"/>
  <c r="R71" i="1" s="1"/>
  <c r="J71" i="1"/>
  <c r="S71" i="1" s="1"/>
  <c r="C72" i="1"/>
  <c r="L72" i="1" s="1"/>
  <c r="D72" i="1"/>
  <c r="M72" i="1" s="1"/>
  <c r="E72" i="1"/>
  <c r="N72" i="1" s="1"/>
  <c r="F72" i="1"/>
  <c r="O72" i="1" s="1"/>
  <c r="G72" i="1"/>
  <c r="P72" i="1" s="1"/>
  <c r="H72" i="1"/>
  <c r="Q72" i="1" s="1"/>
  <c r="I72" i="1"/>
  <c r="R72" i="1" s="1"/>
  <c r="J72" i="1"/>
  <c r="S72" i="1" s="1"/>
  <c r="C73" i="1"/>
  <c r="L73" i="1" s="1"/>
  <c r="D73" i="1"/>
  <c r="M73" i="1" s="1"/>
  <c r="E73" i="1"/>
  <c r="N73" i="1" s="1"/>
  <c r="F73" i="1"/>
  <c r="O73" i="1" s="1"/>
  <c r="G73" i="1"/>
  <c r="P73" i="1" s="1"/>
  <c r="H73" i="1"/>
  <c r="Q73" i="1" s="1"/>
  <c r="I73" i="1"/>
  <c r="R73" i="1" s="1"/>
  <c r="J73" i="1"/>
  <c r="S73" i="1" s="1"/>
  <c r="C74" i="1"/>
  <c r="L74" i="1" s="1"/>
  <c r="D74" i="1"/>
  <c r="M74" i="1" s="1"/>
  <c r="E74" i="1"/>
  <c r="N74" i="1" s="1"/>
  <c r="F74" i="1"/>
  <c r="O74" i="1" s="1"/>
  <c r="G74" i="1"/>
  <c r="P74" i="1" s="1"/>
  <c r="H74" i="1"/>
  <c r="Q74" i="1" s="1"/>
  <c r="I74" i="1"/>
  <c r="R74" i="1" s="1"/>
  <c r="J74" i="1"/>
  <c r="S74" i="1" s="1"/>
  <c r="C75" i="1"/>
  <c r="L75" i="1" s="1"/>
  <c r="D75" i="1"/>
  <c r="M75" i="1" s="1"/>
  <c r="E75" i="1"/>
  <c r="N75" i="1" s="1"/>
  <c r="F75" i="1"/>
  <c r="O75" i="1" s="1"/>
  <c r="G75" i="1"/>
  <c r="P75" i="1" s="1"/>
  <c r="H75" i="1"/>
  <c r="Q75" i="1" s="1"/>
  <c r="I75" i="1"/>
  <c r="R75" i="1" s="1"/>
  <c r="J75" i="1"/>
  <c r="S75" i="1" s="1"/>
  <c r="C76" i="1"/>
  <c r="L76" i="1" s="1"/>
  <c r="D76" i="1"/>
  <c r="M76" i="1" s="1"/>
  <c r="E76" i="1"/>
  <c r="N76" i="1" s="1"/>
  <c r="F76" i="1"/>
  <c r="O76" i="1" s="1"/>
  <c r="G76" i="1"/>
  <c r="P76" i="1" s="1"/>
  <c r="H76" i="1"/>
  <c r="Q76" i="1" s="1"/>
  <c r="I76" i="1"/>
  <c r="R76" i="1" s="1"/>
  <c r="J76" i="1"/>
  <c r="S76" i="1" s="1"/>
  <c r="C77" i="1"/>
  <c r="L77" i="1" s="1"/>
  <c r="D77" i="1"/>
  <c r="M77" i="1" s="1"/>
  <c r="E77" i="1"/>
  <c r="N77" i="1" s="1"/>
  <c r="F77" i="1"/>
  <c r="O77" i="1" s="1"/>
  <c r="G77" i="1"/>
  <c r="P77" i="1" s="1"/>
  <c r="H77" i="1"/>
  <c r="Q77" i="1" s="1"/>
  <c r="I77" i="1"/>
  <c r="R77" i="1" s="1"/>
  <c r="J77" i="1"/>
  <c r="S77" i="1" s="1"/>
  <c r="C78" i="1"/>
  <c r="L78" i="1" s="1"/>
  <c r="D78" i="1"/>
  <c r="M78" i="1" s="1"/>
  <c r="E78" i="1"/>
  <c r="N78" i="1" s="1"/>
  <c r="F78" i="1"/>
  <c r="O78" i="1" s="1"/>
  <c r="G78" i="1"/>
  <c r="P78" i="1" s="1"/>
  <c r="H78" i="1"/>
  <c r="Q78" i="1" s="1"/>
  <c r="I78" i="1"/>
  <c r="R78" i="1" s="1"/>
  <c r="J78" i="1"/>
  <c r="S78" i="1" s="1"/>
  <c r="C79" i="1"/>
  <c r="L79" i="1" s="1"/>
  <c r="D79" i="1"/>
  <c r="M79" i="1" s="1"/>
  <c r="E79" i="1"/>
  <c r="N79" i="1" s="1"/>
  <c r="F79" i="1"/>
  <c r="O79" i="1" s="1"/>
  <c r="G79" i="1"/>
  <c r="P79" i="1" s="1"/>
  <c r="H79" i="1"/>
  <c r="Q79" i="1" s="1"/>
  <c r="I79" i="1"/>
  <c r="R79" i="1" s="1"/>
  <c r="J79" i="1"/>
  <c r="S79" i="1" s="1"/>
  <c r="C80" i="1"/>
  <c r="L80" i="1" s="1"/>
  <c r="D80" i="1"/>
  <c r="M80" i="1" s="1"/>
  <c r="E80" i="1"/>
  <c r="N80" i="1" s="1"/>
  <c r="F80" i="1"/>
  <c r="O80" i="1" s="1"/>
  <c r="G80" i="1"/>
  <c r="P80" i="1" s="1"/>
  <c r="H80" i="1"/>
  <c r="Q80" i="1" s="1"/>
  <c r="I80" i="1"/>
  <c r="R80" i="1" s="1"/>
  <c r="J80" i="1"/>
  <c r="S80" i="1" s="1"/>
  <c r="C81" i="1"/>
  <c r="L81" i="1" s="1"/>
  <c r="D81" i="1"/>
  <c r="M81" i="1" s="1"/>
  <c r="E81" i="1"/>
  <c r="N81" i="1" s="1"/>
  <c r="F81" i="1"/>
  <c r="O81" i="1" s="1"/>
  <c r="G81" i="1"/>
  <c r="P81" i="1" s="1"/>
  <c r="H81" i="1"/>
  <c r="Q81" i="1" s="1"/>
  <c r="I81" i="1"/>
  <c r="R81" i="1" s="1"/>
  <c r="J81" i="1"/>
  <c r="S81" i="1" s="1"/>
  <c r="C82" i="1"/>
  <c r="L82" i="1" s="1"/>
  <c r="D82" i="1"/>
  <c r="M82" i="1" s="1"/>
  <c r="E82" i="1"/>
  <c r="N82" i="1" s="1"/>
  <c r="F82" i="1"/>
  <c r="O82" i="1" s="1"/>
  <c r="G82" i="1"/>
  <c r="P82" i="1" s="1"/>
  <c r="H82" i="1"/>
  <c r="Q82" i="1" s="1"/>
  <c r="I82" i="1"/>
  <c r="R82" i="1" s="1"/>
  <c r="J82" i="1"/>
  <c r="S82" i="1" s="1"/>
  <c r="C83" i="1"/>
  <c r="L83" i="1" s="1"/>
  <c r="D83" i="1"/>
  <c r="M83" i="1" s="1"/>
  <c r="E83" i="1"/>
  <c r="N83" i="1" s="1"/>
  <c r="F83" i="1"/>
  <c r="O83" i="1" s="1"/>
  <c r="G83" i="1"/>
  <c r="P83" i="1" s="1"/>
  <c r="H83" i="1"/>
  <c r="Q83" i="1" s="1"/>
  <c r="I83" i="1"/>
  <c r="R83" i="1" s="1"/>
  <c r="J83" i="1"/>
  <c r="S83" i="1" s="1"/>
  <c r="C84" i="1"/>
  <c r="L84" i="1" s="1"/>
  <c r="D84" i="1"/>
  <c r="M84" i="1" s="1"/>
  <c r="E84" i="1"/>
  <c r="N84" i="1" s="1"/>
  <c r="F84" i="1"/>
  <c r="O84" i="1" s="1"/>
  <c r="G84" i="1"/>
  <c r="P84" i="1" s="1"/>
  <c r="H84" i="1"/>
  <c r="Q84" i="1" s="1"/>
  <c r="I84" i="1"/>
  <c r="R84" i="1" s="1"/>
  <c r="J84" i="1"/>
  <c r="S84" i="1" s="1"/>
  <c r="C85" i="1"/>
  <c r="L85" i="1" s="1"/>
  <c r="D85" i="1"/>
  <c r="M85" i="1" s="1"/>
  <c r="E85" i="1"/>
  <c r="N85" i="1" s="1"/>
  <c r="F85" i="1"/>
  <c r="O85" i="1" s="1"/>
  <c r="G85" i="1"/>
  <c r="P85" i="1" s="1"/>
  <c r="H85" i="1"/>
  <c r="Q85" i="1" s="1"/>
  <c r="I85" i="1"/>
  <c r="R85" i="1" s="1"/>
  <c r="J85" i="1"/>
  <c r="S85" i="1" s="1"/>
  <c r="C86" i="1"/>
  <c r="L86" i="1" s="1"/>
  <c r="D86" i="1"/>
  <c r="M86" i="1" s="1"/>
  <c r="E86" i="1"/>
  <c r="N86" i="1" s="1"/>
  <c r="F86" i="1"/>
  <c r="O86" i="1" s="1"/>
  <c r="G86" i="1"/>
  <c r="P86" i="1" s="1"/>
  <c r="H86" i="1"/>
  <c r="Q86" i="1" s="1"/>
  <c r="I86" i="1"/>
  <c r="R86" i="1" s="1"/>
  <c r="J86" i="1"/>
  <c r="S86" i="1" s="1"/>
  <c r="C87" i="1"/>
  <c r="L87" i="1" s="1"/>
  <c r="D87" i="1"/>
  <c r="M87" i="1" s="1"/>
  <c r="E87" i="1"/>
  <c r="N87" i="1" s="1"/>
  <c r="F87" i="1"/>
  <c r="O87" i="1" s="1"/>
  <c r="G87" i="1"/>
  <c r="P87" i="1" s="1"/>
  <c r="H87" i="1"/>
  <c r="Q87" i="1" s="1"/>
  <c r="I87" i="1"/>
  <c r="R87" i="1" s="1"/>
  <c r="J87" i="1"/>
  <c r="S87" i="1" s="1"/>
  <c r="C88" i="1"/>
  <c r="L88" i="1" s="1"/>
  <c r="D88" i="1"/>
  <c r="M88" i="1" s="1"/>
  <c r="E88" i="1"/>
  <c r="N88" i="1" s="1"/>
  <c r="F88" i="1"/>
  <c r="O88" i="1" s="1"/>
  <c r="G88" i="1"/>
  <c r="P88" i="1" s="1"/>
  <c r="H88" i="1"/>
  <c r="Q88" i="1" s="1"/>
  <c r="I88" i="1"/>
  <c r="R88" i="1" s="1"/>
  <c r="J88" i="1"/>
  <c r="S88" i="1" s="1"/>
  <c r="C89" i="1"/>
  <c r="L89" i="1" s="1"/>
  <c r="D89" i="1"/>
  <c r="M89" i="1" s="1"/>
  <c r="E89" i="1"/>
  <c r="N89" i="1" s="1"/>
  <c r="F89" i="1"/>
  <c r="O89" i="1" s="1"/>
  <c r="G89" i="1"/>
  <c r="P89" i="1" s="1"/>
  <c r="H89" i="1"/>
  <c r="Q89" i="1" s="1"/>
  <c r="I89" i="1"/>
  <c r="R89" i="1" s="1"/>
  <c r="J89" i="1"/>
  <c r="S89" i="1" s="1"/>
  <c r="C90" i="1"/>
  <c r="L90" i="1" s="1"/>
  <c r="D90" i="1"/>
  <c r="M90" i="1" s="1"/>
  <c r="E90" i="1"/>
  <c r="N90" i="1" s="1"/>
  <c r="F90" i="1"/>
  <c r="O90" i="1" s="1"/>
  <c r="G90" i="1"/>
  <c r="P90" i="1" s="1"/>
  <c r="H90" i="1"/>
  <c r="Q90" i="1" s="1"/>
  <c r="I90" i="1"/>
  <c r="R90" i="1" s="1"/>
  <c r="J90" i="1"/>
  <c r="S90" i="1" s="1"/>
  <c r="C91" i="1"/>
  <c r="L91" i="1" s="1"/>
  <c r="D91" i="1"/>
  <c r="M91" i="1" s="1"/>
  <c r="E91" i="1"/>
  <c r="N91" i="1" s="1"/>
  <c r="F91" i="1"/>
  <c r="O91" i="1" s="1"/>
  <c r="G91" i="1"/>
  <c r="P91" i="1" s="1"/>
  <c r="H91" i="1"/>
  <c r="Q91" i="1" s="1"/>
  <c r="I91" i="1"/>
  <c r="R91" i="1" s="1"/>
  <c r="J91" i="1"/>
  <c r="S91" i="1" s="1"/>
  <c r="C92" i="1"/>
  <c r="L92" i="1" s="1"/>
  <c r="D92" i="1"/>
  <c r="M92" i="1" s="1"/>
  <c r="E92" i="1"/>
  <c r="N92" i="1" s="1"/>
  <c r="F92" i="1"/>
  <c r="O92" i="1" s="1"/>
  <c r="G92" i="1"/>
  <c r="P92" i="1" s="1"/>
  <c r="H92" i="1"/>
  <c r="Q92" i="1" s="1"/>
  <c r="I92" i="1"/>
  <c r="R92" i="1" s="1"/>
  <c r="J92" i="1"/>
  <c r="S92" i="1" s="1"/>
  <c r="C93" i="1"/>
  <c r="L93" i="1" s="1"/>
  <c r="D93" i="1"/>
  <c r="M93" i="1" s="1"/>
  <c r="E93" i="1"/>
  <c r="N93" i="1" s="1"/>
  <c r="F93" i="1"/>
  <c r="O93" i="1" s="1"/>
  <c r="G93" i="1"/>
  <c r="P93" i="1" s="1"/>
  <c r="H93" i="1"/>
  <c r="Q93" i="1" s="1"/>
  <c r="I93" i="1"/>
  <c r="R93" i="1" s="1"/>
  <c r="J93" i="1"/>
  <c r="S93" i="1" s="1"/>
  <c r="C94" i="1"/>
  <c r="L94" i="1" s="1"/>
  <c r="D94" i="1"/>
  <c r="M94" i="1" s="1"/>
  <c r="E94" i="1"/>
  <c r="N94" i="1" s="1"/>
  <c r="F94" i="1"/>
  <c r="O94" i="1" s="1"/>
  <c r="G94" i="1"/>
  <c r="P94" i="1" s="1"/>
  <c r="H94" i="1"/>
  <c r="Q94" i="1" s="1"/>
  <c r="I94" i="1"/>
  <c r="R94" i="1" s="1"/>
  <c r="J94" i="1"/>
  <c r="S94" i="1" s="1"/>
  <c r="C95" i="1"/>
  <c r="L95" i="1" s="1"/>
  <c r="D95" i="1"/>
  <c r="M95" i="1" s="1"/>
  <c r="E95" i="1"/>
  <c r="N95" i="1" s="1"/>
  <c r="F95" i="1"/>
  <c r="O95" i="1" s="1"/>
  <c r="G95" i="1"/>
  <c r="P95" i="1" s="1"/>
  <c r="H95" i="1"/>
  <c r="Q95" i="1" s="1"/>
  <c r="I95" i="1"/>
  <c r="R95" i="1" s="1"/>
  <c r="J95" i="1"/>
  <c r="S95" i="1" s="1"/>
  <c r="C96" i="1"/>
  <c r="L96" i="1" s="1"/>
  <c r="D96" i="1"/>
  <c r="M96" i="1" s="1"/>
  <c r="E96" i="1"/>
  <c r="N96" i="1" s="1"/>
  <c r="F96" i="1"/>
  <c r="O96" i="1" s="1"/>
  <c r="G96" i="1"/>
  <c r="P96" i="1" s="1"/>
  <c r="H96" i="1"/>
  <c r="Q96" i="1" s="1"/>
  <c r="I96" i="1"/>
  <c r="R96" i="1" s="1"/>
  <c r="J96" i="1"/>
  <c r="S96" i="1" s="1"/>
  <c r="C97" i="1"/>
  <c r="L97" i="1" s="1"/>
  <c r="D97" i="1"/>
  <c r="M97" i="1" s="1"/>
  <c r="E97" i="1"/>
  <c r="N97" i="1" s="1"/>
  <c r="F97" i="1"/>
  <c r="O97" i="1" s="1"/>
  <c r="G97" i="1"/>
  <c r="P97" i="1" s="1"/>
  <c r="H97" i="1"/>
  <c r="Q97" i="1" s="1"/>
  <c r="I97" i="1"/>
  <c r="R97" i="1" s="1"/>
  <c r="J97" i="1"/>
  <c r="S97" i="1" s="1"/>
  <c r="C98" i="1"/>
  <c r="L98" i="1" s="1"/>
  <c r="D98" i="1"/>
  <c r="M98" i="1" s="1"/>
  <c r="E98" i="1"/>
  <c r="N98" i="1" s="1"/>
  <c r="F98" i="1"/>
  <c r="O98" i="1" s="1"/>
  <c r="G98" i="1"/>
  <c r="P98" i="1" s="1"/>
  <c r="H98" i="1"/>
  <c r="Q98" i="1" s="1"/>
  <c r="I98" i="1"/>
  <c r="R98" i="1" s="1"/>
  <c r="J98" i="1"/>
  <c r="S98" i="1" s="1"/>
  <c r="C99" i="1"/>
  <c r="L99" i="1" s="1"/>
  <c r="D99" i="1"/>
  <c r="M99" i="1" s="1"/>
  <c r="E99" i="1"/>
  <c r="N99" i="1" s="1"/>
  <c r="F99" i="1"/>
  <c r="O99" i="1" s="1"/>
  <c r="G99" i="1"/>
  <c r="P99" i="1" s="1"/>
  <c r="H99" i="1"/>
  <c r="Q99" i="1" s="1"/>
  <c r="I99" i="1"/>
  <c r="R99" i="1" s="1"/>
  <c r="J99" i="1"/>
  <c r="S99" i="1" s="1"/>
  <c r="C100" i="1"/>
  <c r="L100" i="1" s="1"/>
  <c r="D100" i="1"/>
  <c r="M100" i="1" s="1"/>
  <c r="E100" i="1"/>
  <c r="N100" i="1" s="1"/>
  <c r="F100" i="1"/>
  <c r="O100" i="1" s="1"/>
  <c r="G100" i="1"/>
  <c r="P100" i="1" s="1"/>
  <c r="H100" i="1"/>
  <c r="Q100" i="1" s="1"/>
  <c r="I100" i="1"/>
  <c r="R100" i="1" s="1"/>
  <c r="J100" i="1"/>
  <c r="S100" i="1" s="1"/>
  <c r="C101" i="1"/>
  <c r="L101" i="1" s="1"/>
  <c r="D101" i="1"/>
  <c r="M101" i="1" s="1"/>
  <c r="E101" i="1"/>
  <c r="N101" i="1" s="1"/>
  <c r="F101" i="1"/>
  <c r="O101" i="1" s="1"/>
  <c r="G101" i="1"/>
  <c r="P101" i="1" s="1"/>
  <c r="H101" i="1"/>
  <c r="Q101" i="1" s="1"/>
  <c r="I101" i="1"/>
  <c r="R101" i="1" s="1"/>
  <c r="J101" i="1"/>
  <c r="S101" i="1" s="1"/>
  <c r="C102" i="1"/>
  <c r="L102" i="1" s="1"/>
  <c r="D102" i="1"/>
  <c r="M102" i="1" s="1"/>
  <c r="E102" i="1"/>
  <c r="N102" i="1" s="1"/>
  <c r="F102" i="1"/>
  <c r="O102" i="1" s="1"/>
  <c r="G102" i="1"/>
  <c r="P102" i="1" s="1"/>
  <c r="H102" i="1"/>
  <c r="Q102" i="1" s="1"/>
  <c r="I102" i="1"/>
  <c r="R102" i="1" s="1"/>
  <c r="J102" i="1"/>
  <c r="S102" i="1" s="1"/>
  <c r="C103" i="1"/>
  <c r="L103" i="1" s="1"/>
  <c r="D103" i="1"/>
  <c r="M103" i="1" s="1"/>
  <c r="E103" i="1"/>
  <c r="N103" i="1" s="1"/>
  <c r="F103" i="1"/>
  <c r="O103" i="1" s="1"/>
  <c r="G103" i="1"/>
  <c r="P103" i="1" s="1"/>
  <c r="H103" i="1"/>
  <c r="Q103" i="1" s="1"/>
  <c r="I103" i="1"/>
  <c r="R103" i="1" s="1"/>
  <c r="J103" i="1"/>
  <c r="S103" i="1" s="1"/>
  <c r="C104" i="1"/>
  <c r="L104" i="1" s="1"/>
  <c r="D104" i="1"/>
  <c r="M104" i="1" s="1"/>
  <c r="E104" i="1"/>
  <c r="N104" i="1" s="1"/>
  <c r="F104" i="1"/>
  <c r="O104" i="1" s="1"/>
  <c r="G104" i="1"/>
  <c r="P104" i="1" s="1"/>
  <c r="H104" i="1"/>
  <c r="Q104" i="1" s="1"/>
  <c r="I104" i="1"/>
  <c r="R104" i="1" s="1"/>
  <c r="J104" i="1"/>
  <c r="S104" i="1" s="1"/>
  <c r="C105" i="1"/>
  <c r="L105" i="1" s="1"/>
  <c r="D105" i="1"/>
  <c r="M105" i="1" s="1"/>
  <c r="E105" i="1"/>
  <c r="N105" i="1" s="1"/>
  <c r="F105" i="1"/>
  <c r="O105" i="1" s="1"/>
  <c r="G105" i="1"/>
  <c r="P105" i="1" s="1"/>
  <c r="H105" i="1"/>
  <c r="Q105" i="1" s="1"/>
  <c r="I105" i="1"/>
  <c r="R105" i="1" s="1"/>
  <c r="J105" i="1"/>
  <c r="S105" i="1" s="1"/>
  <c r="C106" i="1"/>
  <c r="L106" i="1" s="1"/>
  <c r="D106" i="1"/>
  <c r="M106" i="1" s="1"/>
  <c r="E106" i="1"/>
  <c r="N106" i="1" s="1"/>
  <c r="F106" i="1"/>
  <c r="O106" i="1" s="1"/>
  <c r="G106" i="1"/>
  <c r="P106" i="1" s="1"/>
  <c r="H106" i="1"/>
  <c r="Q106" i="1" s="1"/>
  <c r="I106" i="1"/>
  <c r="R106" i="1" s="1"/>
  <c r="J106" i="1"/>
  <c r="S106" i="1" s="1"/>
  <c r="C107" i="1"/>
  <c r="L107" i="1" s="1"/>
  <c r="D107" i="1"/>
  <c r="M107" i="1" s="1"/>
  <c r="E107" i="1"/>
  <c r="N107" i="1" s="1"/>
  <c r="F107" i="1"/>
  <c r="O107" i="1" s="1"/>
  <c r="G107" i="1"/>
  <c r="P107" i="1" s="1"/>
  <c r="H107" i="1"/>
  <c r="Q107" i="1" s="1"/>
  <c r="I107" i="1"/>
  <c r="R107" i="1" s="1"/>
  <c r="J107" i="1"/>
  <c r="S107" i="1" s="1"/>
  <c r="C108" i="1"/>
  <c r="L108" i="1" s="1"/>
  <c r="D108" i="1"/>
  <c r="M108" i="1" s="1"/>
  <c r="E108" i="1"/>
  <c r="N108" i="1" s="1"/>
  <c r="F108" i="1"/>
  <c r="O108" i="1" s="1"/>
  <c r="G108" i="1"/>
  <c r="P108" i="1" s="1"/>
  <c r="H108" i="1"/>
  <c r="Q108" i="1" s="1"/>
  <c r="I108" i="1"/>
  <c r="R108" i="1" s="1"/>
  <c r="J108" i="1"/>
  <c r="S108" i="1" s="1"/>
  <c r="C109" i="1"/>
  <c r="L109" i="1" s="1"/>
  <c r="D109" i="1"/>
  <c r="M109" i="1" s="1"/>
  <c r="E109" i="1"/>
  <c r="N109" i="1" s="1"/>
  <c r="F109" i="1"/>
  <c r="O109" i="1" s="1"/>
  <c r="G109" i="1"/>
  <c r="P109" i="1" s="1"/>
  <c r="H109" i="1"/>
  <c r="Q109" i="1" s="1"/>
  <c r="I109" i="1"/>
  <c r="R109" i="1" s="1"/>
  <c r="J109" i="1"/>
  <c r="S109" i="1" s="1"/>
  <c r="C110" i="1"/>
  <c r="L110" i="1" s="1"/>
  <c r="D110" i="1"/>
  <c r="M110" i="1" s="1"/>
  <c r="E110" i="1"/>
  <c r="N110" i="1" s="1"/>
  <c r="F110" i="1"/>
  <c r="O110" i="1" s="1"/>
  <c r="G110" i="1"/>
  <c r="P110" i="1" s="1"/>
  <c r="H110" i="1"/>
  <c r="Q110" i="1" s="1"/>
  <c r="I110" i="1"/>
  <c r="R110" i="1" s="1"/>
  <c r="J110" i="1"/>
  <c r="S110" i="1" s="1"/>
  <c r="C111" i="1"/>
  <c r="L111" i="1" s="1"/>
  <c r="D111" i="1"/>
  <c r="M111" i="1" s="1"/>
  <c r="E111" i="1"/>
  <c r="N111" i="1" s="1"/>
  <c r="F111" i="1"/>
  <c r="O111" i="1" s="1"/>
  <c r="G111" i="1"/>
  <c r="P111" i="1" s="1"/>
  <c r="H111" i="1"/>
  <c r="Q111" i="1" s="1"/>
  <c r="I111" i="1"/>
  <c r="R111" i="1" s="1"/>
  <c r="J111" i="1"/>
  <c r="S111" i="1" s="1"/>
  <c r="C112" i="1"/>
  <c r="L112" i="1" s="1"/>
  <c r="D112" i="1"/>
  <c r="M112" i="1" s="1"/>
  <c r="E112" i="1"/>
  <c r="N112" i="1" s="1"/>
  <c r="F112" i="1"/>
  <c r="O112" i="1" s="1"/>
  <c r="G112" i="1"/>
  <c r="P112" i="1" s="1"/>
  <c r="H112" i="1"/>
  <c r="Q112" i="1" s="1"/>
  <c r="I112" i="1"/>
  <c r="R112" i="1" s="1"/>
  <c r="J112" i="1"/>
  <c r="S112" i="1" s="1"/>
  <c r="C113" i="1"/>
  <c r="L113" i="1" s="1"/>
  <c r="D113" i="1"/>
  <c r="M113" i="1" s="1"/>
  <c r="E113" i="1"/>
  <c r="N113" i="1" s="1"/>
  <c r="F113" i="1"/>
  <c r="O113" i="1" s="1"/>
  <c r="G113" i="1"/>
  <c r="P113" i="1" s="1"/>
  <c r="H113" i="1"/>
  <c r="Q113" i="1" s="1"/>
  <c r="I113" i="1"/>
  <c r="R113" i="1" s="1"/>
  <c r="J113" i="1"/>
  <c r="S113" i="1" s="1"/>
  <c r="C3" i="1"/>
  <c r="L3" i="1" s="1"/>
  <c r="D3" i="1"/>
  <c r="M3" i="1" s="1"/>
  <c r="E3" i="1"/>
  <c r="N3" i="1" s="1"/>
  <c r="F3" i="1"/>
  <c r="O3" i="1" s="1"/>
  <c r="G3" i="1"/>
  <c r="P3" i="1" s="1"/>
  <c r="H3" i="1"/>
  <c r="Q3" i="1" s="1"/>
  <c r="I3" i="1"/>
  <c r="R3" i="1" s="1"/>
  <c r="J3" i="1"/>
  <c r="S3" i="1" s="1"/>
  <c r="C4" i="1"/>
  <c r="L4" i="1" s="1"/>
  <c r="D4" i="1"/>
  <c r="M4" i="1" s="1"/>
  <c r="E4" i="1"/>
  <c r="N4" i="1" s="1"/>
  <c r="F4" i="1"/>
  <c r="O4" i="1" s="1"/>
  <c r="G4" i="1"/>
  <c r="P4" i="1" s="1"/>
  <c r="H4" i="1"/>
  <c r="Q4" i="1" s="1"/>
  <c r="I4" i="1"/>
  <c r="R4" i="1" s="1"/>
  <c r="J4" i="1"/>
  <c r="S4" i="1" s="1"/>
  <c r="C5" i="1"/>
  <c r="L5" i="1" s="1"/>
  <c r="D5" i="1"/>
  <c r="M5" i="1" s="1"/>
  <c r="E5" i="1"/>
  <c r="N5" i="1" s="1"/>
  <c r="F5" i="1"/>
  <c r="O5" i="1" s="1"/>
  <c r="G5" i="1"/>
  <c r="P5" i="1" s="1"/>
  <c r="H5" i="1"/>
  <c r="Q5" i="1" s="1"/>
  <c r="I5" i="1"/>
  <c r="R5" i="1" s="1"/>
  <c r="J5" i="1"/>
  <c r="S5" i="1" s="1"/>
  <c r="C6" i="1"/>
  <c r="L6" i="1" s="1"/>
  <c r="D6" i="1"/>
  <c r="M6" i="1" s="1"/>
  <c r="E6" i="1"/>
  <c r="N6" i="1" s="1"/>
  <c r="F6" i="1"/>
  <c r="O6" i="1" s="1"/>
  <c r="G6" i="1"/>
  <c r="P6" i="1" s="1"/>
  <c r="H6" i="1"/>
  <c r="Q6" i="1" s="1"/>
  <c r="I6" i="1"/>
  <c r="R6" i="1" s="1"/>
  <c r="J6" i="1"/>
  <c r="S6" i="1" s="1"/>
  <c r="C7" i="1"/>
  <c r="L7" i="1" s="1"/>
  <c r="D7" i="1"/>
  <c r="M7" i="1" s="1"/>
  <c r="E7" i="1"/>
  <c r="N7" i="1" s="1"/>
  <c r="F7" i="1"/>
  <c r="O7" i="1" s="1"/>
  <c r="G7" i="1"/>
  <c r="P7" i="1" s="1"/>
  <c r="H7" i="1"/>
  <c r="Q7" i="1" s="1"/>
  <c r="I7" i="1"/>
  <c r="R7" i="1" s="1"/>
  <c r="J7" i="1"/>
  <c r="S7" i="1" s="1"/>
  <c r="C8" i="1"/>
  <c r="L8" i="1" s="1"/>
  <c r="D8" i="1"/>
  <c r="M8" i="1" s="1"/>
  <c r="E8" i="1"/>
  <c r="N8" i="1" s="1"/>
  <c r="F8" i="1"/>
  <c r="O8" i="1" s="1"/>
  <c r="G8" i="1"/>
  <c r="P8" i="1" s="1"/>
  <c r="H8" i="1"/>
  <c r="Q8" i="1" s="1"/>
  <c r="I8" i="1"/>
  <c r="R8" i="1" s="1"/>
  <c r="J8" i="1"/>
  <c r="S8" i="1" s="1"/>
  <c r="C9" i="1"/>
  <c r="L9" i="1" s="1"/>
  <c r="D9" i="1"/>
  <c r="M9" i="1" s="1"/>
  <c r="E9" i="1"/>
  <c r="N9" i="1" s="1"/>
  <c r="F9" i="1"/>
  <c r="O9" i="1" s="1"/>
  <c r="G9" i="1"/>
  <c r="P9" i="1" s="1"/>
  <c r="H9" i="1"/>
  <c r="Q9" i="1" s="1"/>
  <c r="I9" i="1"/>
  <c r="R9" i="1" s="1"/>
  <c r="J9" i="1"/>
  <c r="S9" i="1" s="1"/>
  <c r="C10" i="1"/>
  <c r="L10" i="1" s="1"/>
  <c r="D10" i="1"/>
  <c r="M10" i="1" s="1"/>
  <c r="E10" i="1"/>
  <c r="N10" i="1" s="1"/>
  <c r="F10" i="1"/>
  <c r="O10" i="1" s="1"/>
  <c r="G10" i="1"/>
  <c r="P10" i="1" s="1"/>
  <c r="H10" i="1"/>
  <c r="Q10" i="1" s="1"/>
  <c r="I10" i="1"/>
  <c r="R10" i="1" s="1"/>
  <c r="J10" i="1"/>
  <c r="S10" i="1" s="1"/>
  <c r="C11" i="1"/>
  <c r="L11" i="1" s="1"/>
  <c r="D11" i="1"/>
  <c r="M11" i="1" s="1"/>
  <c r="E11" i="1"/>
  <c r="N11" i="1" s="1"/>
  <c r="F11" i="1"/>
  <c r="O11" i="1" s="1"/>
  <c r="G11" i="1"/>
  <c r="P11" i="1" s="1"/>
  <c r="H11" i="1"/>
  <c r="Q11" i="1" s="1"/>
  <c r="I11" i="1"/>
  <c r="R11" i="1" s="1"/>
  <c r="J11" i="1"/>
  <c r="S11" i="1" s="1"/>
  <c r="C12" i="1"/>
  <c r="L12" i="1" s="1"/>
  <c r="D12" i="1"/>
  <c r="M12" i="1" s="1"/>
  <c r="E12" i="1"/>
  <c r="N12" i="1" s="1"/>
  <c r="F12" i="1"/>
  <c r="O12" i="1" s="1"/>
  <c r="G12" i="1"/>
  <c r="P12" i="1" s="1"/>
  <c r="H12" i="1"/>
  <c r="Q12" i="1" s="1"/>
  <c r="I12" i="1"/>
  <c r="R12" i="1" s="1"/>
  <c r="J12" i="1"/>
  <c r="S12" i="1" s="1"/>
  <c r="C13" i="1"/>
  <c r="L13" i="1" s="1"/>
  <c r="D13" i="1"/>
  <c r="M13" i="1" s="1"/>
  <c r="E13" i="1"/>
  <c r="N13" i="1" s="1"/>
  <c r="F13" i="1"/>
  <c r="O13" i="1" s="1"/>
  <c r="G13" i="1"/>
  <c r="P13" i="1" s="1"/>
  <c r="H13" i="1"/>
  <c r="Q13" i="1" s="1"/>
  <c r="I13" i="1"/>
  <c r="R13" i="1" s="1"/>
  <c r="J13" i="1"/>
  <c r="S13" i="1" s="1"/>
  <c r="C14" i="1"/>
  <c r="L14" i="1" s="1"/>
  <c r="D14" i="1"/>
  <c r="M14" i="1" s="1"/>
  <c r="E14" i="1"/>
  <c r="N14" i="1" s="1"/>
  <c r="F14" i="1"/>
  <c r="O14" i="1" s="1"/>
  <c r="G14" i="1"/>
  <c r="P14" i="1" s="1"/>
  <c r="H14" i="1"/>
  <c r="Q14" i="1" s="1"/>
  <c r="I14" i="1"/>
  <c r="R14" i="1" s="1"/>
  <c r="J14" i="1"/>
  <c r="S14" i="1" s="1"/>
  <c r="C15" i="1"/>
  <c r="L15" i="1" s="1"/>
  <c r="D15" i="1"/>
  <c r="M15" i="1" s="1"/>
  <c r="E15" i="1"/>
  <c r="N15" i="1" s="1"/>
  <c r="F15" i="1"/>
  <c r="O15" i="1" s="1"/>
  <c r="G15" i="1"/>
  <c r="P15" i="1" s="1"/>
  <c r="H15" i="1"/>
  <c r="Q15" i="1" s="1"/>
  <c r="I15" i="1"/>
  <c r="R15" i="1" s="1"/>
  <c r="J15" i="1"/>
  <c r="S15" i="1" s="1"/>
  <c r="C16" i="1"/>
  <c r="L16" i="1" s="1"/>
  <c r="D16" i="1"/>
  <c r="M16" i="1" s="1"/>
  <c r="E16" i="1"/>
  <c r="N16" i="1" s="1"/>
  <c r="F16" i="1"/>
  <c r="O16" i="1" s="1"/>
  <c r="G16" i="1"/>
  <c r="P16" i="1" s="1"/>
  <c r="H16" i="1"/>
  <c r="Q16" i="1" s="1"/>
  <c r="I16" i="1"/>
  <c r="R16" i="1" s="1"/>
  <c r="J16" i="1"/>
  <c r="S16" i="1" s="1"/>
  <c r="C17" i="1"/>
  <c r="L17" i="1" s="1"/>
  <c r="D17" i="1"/>
  <c r="M17" i="1" s="1"/>
  <c r="E17" i="1"/>
  <c r="N17" i="1" s="1"/>
  <c r="F17" i="1"/>
  <c r="O17" i="1" s="1"/>
  <c r="G17" i="1"/>
  <c r="P17" i="1" s="1"/>
  <c r="H17" i="1"/>
  <c r="Q17" i="1" s="1"/>
  <c r="I17" i="1"/>
  <c r="R17" i="1" s="1"/>
  <c r="J17" i="1"/>
  <c r="S17" i="1" s="1"/>
  <c r="C18" i="1"/>
  <c r="L18" i="1" s="1"/>
  <c r="D18" i="1"/>
  <c r="M18" i="1" s="1"/>
  <c r="E18" i="1"/>
  <c r="N18" i="1" s="1"/>
  <c r="F18" i="1"/>
  <c r="O18" i="1" s="1"/>
  <c r="G18" i="1"/>
  <c r="P18" i="1" s="1"/>
  <c r="H18" i="1"/>
  <c r="Q18" i="1" s="1"/>
  <c r="I18" i="1"/>
  <c r="R18" i="1" s="1"/>
  <c r="J18" i="1"/>
  <c r="S18" i="1" s="1"/>
  <c r="C19" i="1"/>
  <c r="L19" i="1" s="1"/>
  <c r="D19" i="1"/>
  <c r="M19" i="1" s="1"/>
  <c r="E19" i="1"/>
  <c r="N19" i="1" s="1"/>
  <c r="F19" i="1"/>
  <c r="O19" i="1" s="1"/>
  <c r="G19" i="1"/>
  <c r="P19" i="1" s="1"/>
  <c r="H19" i="1"/>
  <c r="Q19" i="1" s="1"/>
  <c r="I19" i="1"/>
  <c r="R19" i="1" s="1"/>
  <c r="J19" i="1"/>
  <c r="S19" i="1" s="1"/>
  <c r="C20" i="1"/>
  <c r="L20" i="1" s="1"/>
  <c r="D20" i="1"/>
  <c r="M20" i="1" s="1"/>
  <c r="E20" i="1"/>
  <c r="N20" i="1" s="1"/>
  <c r="F20" i="1"/>
  <c r="O20" i="1" s="1"/>
  <c r="G20" i="1"/>
  <c r="P20" i="1" s="1"/>
  <c r="H20" i="1"/>
  <c r="Q20" i="1" s="1"/>
  <c r="I20" i="1"/>
  <c r="R20" i="1" s="1"/>
  <c r="J20" i="1"/>
  <c r="S20" i="1" s="1"/>
  <c r="C21" i="1"/>
  <c r="L21" i="1" s="1"/>
  <c r="D21" i="1"/>
  <c r="M21" i="1" s="1"/>
  <c r="E21" i="1"/>
  <c r="N21" i="1" s="1"/>
  <c r="F21" i="1"/>
  <c r="O21" i="1" s="1"/>
  <c r="G21" i="1"/>
  <c r="P21" i="1" s="1"/>
  <c r="H21" i="1"/>
  <c r="Q21" i="1" s="1"/>
  <c r="I21" i="1"/>
  <c r="R21" i="1" s="1"/>
  <c r="J21" i="1"/>
  <c r="S21" i="1" s="1"/>
  <c r="C22" i="1"/>
  <c r="L22" i="1" s="1"/>
  <c r="D22" i="1"/>
  <c r="M22" i="1" s="1"/>
  <c r="E22" i="1"/>
  <c r="N22" i="1" s="1"/>
  <c r="F22" i="1"/>
  <c r="O22" i="1" s="1"/>
  <c r="G22" i="1"/>
  <c r="P22" i="1" s="1"/>
  <c r="H22" i="1"/>
  <c r="Q22" i="1" s="1"/>
  <c r="I22" i="1"/>
  <c r="R22" i="1" s="1"/>
  <c r="J22" i="1"/>
  <c r="S22" i="1" s="1"/>
  <c r="C23" i="1"/>
  <c r="L23" i="1" s="1"/>
  <c r="D23" i="1"/>
  <c r="M23" i="1" s="1"/>
  <c r="E23" i="1"/>
  <c r="N23" i="1" s="1"/>
  <c r="F23" i="1"/>
  <c r="O23" i="1" s="1"/>
  <c r="G23" i="1"/>
  <c r="P23" i="1" s="1"/>
  <c r="H23" i="1"/>
  <c r="Q23" i="1" s="1"/>
  <c r="I23" i="1"/>
  <c r="R23" i="1" s="1"/>
  <c r="J23" i="1"/>
  <c r="S23" i="1" s="1"/>
  <c r="J2" i="1"/>
  <c r="S2" i="1" s="1"/>
  <c r="I2" i="1"/>
  <c r="R2" i="1" s="1"/>
  <c r="H2" i="1"/>
  <c r="Q2" i="1" s="1"/>
  <c r="G2" i="1"/>
  <c r="P2" i="1" s="1"/>
  <c r="F2" i="1"/>
  <c r="O2" i="1" s="1"/>
  <c r="E2" i="1"/>
  <c r="N2" i="1" s="1"/>
  <c r="D2" i="1"/>
  <c r="M2" i="1" s="1"/>
  <c r="L2" i="1"/>
  <c r="L115" i="1" l="1"/>
  <c r="P115" i="1"/>
  <c r="O115" i="1"/>
  <c r="Q115" i="1"/>
  <c r="N115" i="1"/>
  <c r="S115" i="1"/>
  <c r="R115" i="1"/>
  <c r="M115" i="1"/>
</calcChain>
</file>

<file path=xl/sharedStrings.xml><?xml version="1.0" encoding="utf-8"?>
<sst xmlns="http://schemas.openxmlformats.org/spreadsheetml/2006/main" count="245" uniqueCount="133">
  <si>
    <t>UK Products of agriculture, hunting and related services</t>
  </si>
  <si>
    <t>A</t>
  </si>
  <si>
    <t>UK Products of forestry, logging and related services</t>
  </si>
  <si>
    <t>UK Fish and other fishing products; aquaculture products; support services to fishing</t>
  </si>
  <si>
    <t>UK Coal and lignite</t>
  </si>
  <si>
    <t>B</t>
  </si>
  <si>
    <t>UK Crude petroleum and natural gas</t>
  </si>
  <si>
    <t>UK Metal ores</t>
  </si>
  <si>
    <t>UK Other mining and quarrying products</t>
  </si>
  <si>
    <t>UK Mining support services</t>
  </si>
  <si>
    <t>UK Preserved meat and meat products</t>
  </si>
  <si>
    <t>C</t>
  </si>
  <si>
    <t>UK Processed and preserved fish, crustaceans, molluscs, fruit and vegetables</t>
  </si>
  <si>
    <t>UK Vegetable and animal oils and fats</t>
  </si>
  <si>
    <t>UK Dairy products</t>
  </si>
  <si>
    <t>UK Grain mill products, starches and starch products</t>
  </si>
  <si>
    <t>UK Bakery and farinaceous products</t>
  </si>
  <si>
    <t>UK Other food products</t>
  </si>
  <si>
    <t>UK Prepared animal feeds</t>
  </si>
  <si>
    <t>UK Alcoholic beverages</t>
  </si>
  <si>
    <t>UK Soft drinks</t>
  </si>
  <si>
    <t>UK Tobacco products</t>
  </si>
  <si>
    <t>UK Textiles</t>
  </si>
  <si>
    <t>UK Wearing apparel</t>
  </si>
  <si>
    <t>UK Leather and related products</t>
  </si>
  <si>
    <t>UK Wood and of products of wood and cork, except furniture; articles of straw and plaiting materials</t>
  </si>
  <si>
    <t>UK Paper and paper products</t>
  </si>
  <si>
    <t>UK Printing and recording services</t>
  </si>
  <si>
    <t>UK Coke and refined petroleum products</t>
  </si>
  <si>
    <t>UK Paints, varnishes and similar coatings, printing ink and mastics</t>
  </si>
  <si>
    <t>UK Soap and detergents, cleaning and polishing preparations, perfumes and toilet preparations</t>
  </si>
  <si>
    <t>UK Other chemical products</t>
  </si>
  <si>
    <t>UK Industrial gases, inorganics and fertilisers (all inorganic chemicals) - 20.11/13/15</t>
  </si>
  <si>
    <t>UK Petrochemicals - 20.14/16/17/60</t>
  </si>
  <si>
    <t>UK Dyestuffs, agro-chemicals - 20.12/20</t>
  </si>
  <si>
    <t>UK Basic pharmaceutical products and pharmaceutical preparations</t>
  </si>
  <si>
    <t>UK Rubber and plastic products</t>
  </si>
  <si>
    <t>UK Cement, lime, plaster and articles of concrete, cement and plaster</t>
  </si>
  <si>
    <t>UK Glass, refractory, clay, other porcelain and ceramic, stone and abrasive products - 23.1-4/7-9</t>
  </si>
  <si>
    <t>UK Basic iron and steel</t>
  </si>
  <si>
    <t>UK Other basic metals and casting</t>
  </si>
  <si>
    <t>UK Weapons and ammunition</t>
  </si>
  <si>
    <t>UK Fabricated metal products, excl. machinery and equipment and weapons &amp; ammunition - 25.1-3/25.5-9</t>
  </si>
  <si>
    <t>UK Computer, electronic and optical products</t>
  </si>
  <si>
    <t>UK Electrical equipment</t>
  </si>
  <si>
    <t>UK Machinery and equipment n.e.c.</t>
  </si>
  <si>
    <t>UK Motor vehicles, trailers and semi-trailers</t>
  </si>
  <si>
    <t>UK Ships and boats</t>
  </si>
  <si>
    <t>UK Air and spacecraft and related machinery</t>
  </si>
  <si>
    <t>UK Other transport equipment - 30.2/4/9</t>
  </si>
  <si>
    <t>UK Furniture</t>
  </si>
  <si>
    <t>UK Other manufactured goods</t>
  </si>
  <si>
    <t>UK Repair and maintenance of ships and boats</t>
  </si>
  <si>
    <t>UK Repair and maintenance of aircraft and spacecraft</t>
  </si>
  <si>
    <t>UK Rest of repair; Installation - 33.11-14/17/19/20</t>
  </si>
  <si>
    <t>UK Electricity, transmission and distribution</t>
  </si>
  <si>
    <t>D</t>
  </si>
  <si>
    <t>UK Gas; distribution of gaseous fuels through mains; steam and air conditioning supply</t>
  </si>
  <si>
    <t>UK Natural water; water treatment and supply services</t>
  </si>
  <si>
    <t>E</t>
  </si>
  <si>
    <t>UK Sewerage services; sewage sludge</t>
  </si>
  <si>
    <t>UK Waste collection, treatment and disposal services; materials recovery services</t>
  </si>
  <si>
    <t>UK Remediation services and other waste management services</t>
  </si>
  <si>
    <t>UK Buildings and building construction works</t>
  </si>
  <si>
    <t>F</t>
  </si>
  <si>
    <t>UK Constructions and construction works for civil engineering</t>
  </si>
  <si>
    <t>UK Specialised construction works</t>
  </si>
  <si>
    <t>UK Wholesale and retail trade and repair services of motor vehicles and motorcycles</t>
  </si>
  <si>
    <t>G</t>
  </si>
  <si>
    <t>UK Wholesale trade services, except of motor vehicles and motorcycles</t>
  </si>
  <si>
    <t>UK Retail trade services, except of motor vehicles and motorcycles</t>
  </si>
  <si>
    <t>UK Rail transport services</t>
  </si>
  <si>
    <t>H</t>
  </si>
  <si>
    <t>UK Land transport services and transport services via pipelines, excluding rail transport</t>
  </si>
  <si>
    <t>UK Water transport services</t>
  </si>
  <si>
    <t>UK Air transport services</t>
  </si>
  <si>
    <t>UK Warehousing and support services for transportation</t>
  </si>
  <si>
    <t>UK Postal and courier services</t>
  </si>
  <si>
    <t>UK Accommodation services</t>
  </si>
  <si>
    <t>I</t>
  </si>
  <si>
    <t>UK Food and beverage serving services</t>
  </si>
  <si>
    <t>UK Publishing services</t>
  </si>
  <si>
    <t>J</t>
  </si>
  <si>
    <t>UK Motion picture, video and TV programme production services, sound recording &amp; music publishing</t>
  </si>
  <si>
    <t>UK Programming and broadcasting services</t>
  </si>
  <si>
    <t>UK Telecommunications services</t>
  </si>
  <si>
    <t>UK Computer programming, consultancy and related services</t>
  </si>
  <si>
    <t>UK Information services</t>
  </si>
  <si>
    <t>UK Financial services, except insurance and pension funding</t>
  </si>
  <si>
    <t>K</t>
  </si>
  <si>
    <t>UK Insurance, reinsurance and pension funding services, except compulsory social security</t>
  </si>
  <si>
    <t>UK Pension funding services</t>
  </si>
  <si>
    <t>UK Services auxiliary to financial services and insurance services</t>
  </si>
  <si>
    <t>UK Real estate services, excluding on a fee or contract basis and imputed rent</t>
  </si>
  <si>
    <t>UK Owner-Occupiers' Housing Services</t>
  </si>
  <si>
    <t>L</t>
  </si>
  <si>
    <t>UK Real estate services on a fee or contract basis</t>
  </si>
  <si>
    <t>UK Legal services</t>
  </si>
  <si>
    <t>M</t>
  </si>
  <si>
    <t>UK Accounting, bookkeeping and auditing services; tax consulting services</t>
  </si>
  <si>
    <t>UK Services of head offices; management consulting services</t>
  </si>
  <si>
    <t>UK Architectural and engineering services; technical testing and analysis services</t>
  </si>
  <si>
    <t>UK Scientific research and development services</t>
  </si>
  <si>
    <t>UK Advertising and market research services</t>
  </si>
  <si>
    <t>UK Other professional, scientific and technical services</t>
  </si>
  <si>
    <t>UK Veterinary services</t>
  </si>
  <si>
    <t>UK Rental and leasing services</t>
  </si>
  <si>
    <t>N</t>
  </si>
  <si>
    <t>UK Employment services</t>
  </si>
  <si>
    <t>UK Travel agency, tour operator and other reservation services and related services</t>
  </si>
  <si>
    <t>UK Security and investigation services</t>
  </si>
  <si>
    <t>UK Services to buildings and landscape</t>
  </si>
  <si>
    <t>UK Office administrative, office support and other business support services</t>
  </si>
  <si>
    <t>UK Public administration and defence services; compulsory social security services</t>
  </si>
  <si>
    <t>O</t>
  </si>
  <si>
    <t>UK Education services</t>
  </si>
  <si>
    <t>P</t>
  </si>
  <si>
    <t>UK Human health services</t>
  </si>
  <si>
    <t>Q</t>
  </si>
  <si>
    <t>UK Residential care services</t>
  </si>
  <si>
    <t>UK Social work services without accommodation</t>
  </si>
  <si>
    <t>UK Creative, arts and entertainment services</t>
  </si>
  <si>
    <t>R</t>
  </si>
  <si>
    <t>UK Libraries, archives, museums and other cultural services</t>
  </si>
  <si>
    <t>UK Gambling and betting services</t>
  </si>
  <si>
    <t>UK Sports services and amusement and recreation services</t>
  </si>
  <si>
    <t>UK Services furnished by membership organisations</t>
  </si>
  <si>
    <t>S</t>
  </si>
  <si>
    <t>UK Repair services of computers and personal and household goods</t>
  </si>
  <si>
    <t>UK Other personal services</t>
  </si>
  <si>
    <t>UK Services of households as employers of domestic personnel</t>
  </si>
  <si>
    <t>T</t>
  </si>
  <si>
    <t>S*P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</si>
</sst>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8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zoomScale="115" zoomScaleNormal="115" workbookViewId="0">
      <selection activeCell="B24" sqref="B24"/>
    </sheetView>
  </sheetViews>
  <sheetFormatPr defaultRowHeight="10.199999999999999" x14ac:dyDescent="0.2"/>
  <sheetData>
    <row r="1" spans="1:21" x14ac:dyDescent="0.2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L1" t="s">
        <v>132</v>
      </c>
    </row>
    <row r="2" spans="1:21" x14ac:dyDescent="0.2">
      <c r="A2" t="s">
        <v>1</v>
      </c>
      <c r="B2">
        <v>8.9999999999999993E-3</v>
      </c>
      <c r="C2">
        <v>-1.4E-2</v>
      </c>
      <c r="D2">
        <v>-0.01</v>
      </c>
      <c r="E2">
        <v>7.0000000000000001E-3</v>
      </c>
      <c r="F2">
        <v>0</v>
      </c>
      <c r="G2">
        <v>7.0000000000000001E-3</v>
      </c>
      <c r="H2">
        <v>0</v>
      </c>
      <c r="I2">
        <v>7.0000000000000001E-3</v>
      </c>
      <c r="K2">
        <v>0.05</v>
      </c>
      <c r="L2">
        <v>38.5</v>
      </c>
      <c r="N2">
        <v>0.63</v>
      </c>
      <c r="O2">
        <v>39.130000000000003</v>
      </c>
      <c r="Q2">
        <v>4.6591098999999997E-2</v>
      </c>
      <c r="S2" s="3">
        <f t="shared" ref="S2:S21" si="0">$L$23*Q2</f>
        <v>35.875146229999999</v>
      </c>
      <c r="U2">
        <f>B2/3</f>
        <v>2.9999999999999996E-3</v>
      </c>
    </row>
    <row r="3" spans="1:21" x14ac:dyDescent="0.2">
      <c r="A3" t="s">
        <v>5</v>
      </c>
      <c r="B3">
        <v>3.0000000000000001E-3</v>
      </c>
      <c r="C3">
        <v>2.4E-2</v>
      </c>
      <c r="D3">
        <v>-4.0000000000000001E-3</v>
      </c>
      <c r="E3">
        <v>1.0999999999999999E-2</v>
      </c>
      <c r="F3">
        <v>-1.2E-2</v>
      </c>
      <c r="G3">
        <v>3.0000000000000001E-3</v>
      </c>
      <c r="H3">
        <v>-0.313</v>
      </c>
      <c r="I3">
        <v>-0.13700000000000001</v>
      </c>
      <c r="K3">
        <v>0.05</v>
      </c>
      <c r="L3">
        <v>38.5</v>
      </c>
      <c r="N3">
        <v>0.21</v>
      </c>
      <c r="O3">
        <v>38.71</v>
      </c>
      <c r="Q3">
        <v>4.6091014999999999E-2</v>
      </c>
      <c r="S3" s="3">
        <f t="shared" si="0"/>
        <v>35.490081549999999</v>
      </c>
    </row>
    <row r="4" spans="1:21" x14ac:dyDescent="0.2">
      <c r="A4" t="s">
        <v>11</v>
      </c>
      <c r="B4">
        <v>0.115</v>
      </c>
      <c r="C4">
        <v>5.1999999999999998E-2</v>
      </c>
      <c r="D4">
        <v>-0.105</v>
      </c>
      <c r="E4">
        <v>0.105</v>
      </c>
      <c r="F4">
        <v>9.2999999999999999E-2</v>
      </c>
      <c r="G4">
        <v>-0.107</v>
      </c>
      <c r="H4">
        <v>0.33200000000000002</v>
      </c>
      <c r="I4">
        <v>-7.0000000000000007E-2</v>
      </c>
      <c r="K4">
        <v>0.05</v>
      </c>
      <c r="L4">
        <v>38.5</v>
      </c>
      <c r="N4">
        <v>8.0500000000000007</v>
      </c>
      <c r="O4">
        <v>46.55</v>
      </c>
      <c r="Q4">
        <v>5.5425903999999998E-2</v>
      </c>
      <c r="S4" s="3">
        <f t="shared" si="0"/>
        <v>42.677946079999998</v>
      </c>
    </row>
    <row r="5" spans="1:21" x14ac:dyDescent="0.2">
      <c r="A5" t="s">
        <v>56</v>
      </c>
      <c r="B5">
        <v>-1.2999999999999999E-2</v>
      </c>
      <c r="C5">
        <v>-1.4999999999999999E-2</v>
      </c>
      <c r="D5">
        <v>-3.2000000000000001E-2</v>
      </c>
      <c r="E5">
        <v>7.0000000000000001E-3</v>
      </c>
      <c r="F5">
        <v>5.0000000000000001E-3</v>
      </c>
      <c r="G5">
        <v>-1.4E-2</v>
      </c>
      <c r="H5">
        <v>-4.3999999999999997E-2</v>
      </c>
      <c r="I5">
        <v>-2.5000000000000001E-2</v>
      </c>
      <c r="K5">
        <v>0.05</v>
      </c>
      <c r="L5">
        <v>38.5</v>
      </c>
      <c r="N5">
        <v>-0.91</v>
      </c>
      <c r="O5">
        <v>37.590000000000003</v>
      </c>
      <c r="Q5">
        <v>4.4757459999999999E-2</v>
      </c>
      <c r="S5" s="3">
        <f t="shared" si="0"/>
        <v>34.463244199999998</v>
      </c>
    </row>
    <row r="6" spans="1:21" x14ac:dyDescent="0.2">
      <c r="A6" t="s">
        <v>59</v>
      </c>
      <c r="B6">
        <v>1.2999999999999999E-2</v>
      </c>
      <c r="C6">
        <v>3.0000000000000001E-3</v>
      </c>
      <c r="D6">
        <v>1.2999999999999999E-2</v>
      </c>
      <c r="E6">
        <v>2E-3</v>
      </c>
      <c r="F6">
        <v>8.0000000000000002E-3</v>
      </c>
      <c r="G6">
        <v>6.0000000000000001E-3</v>
      </c>
      <c r="H6">
        <v>-9.1999999999999998E-2</v>
      </c>
      <c r="I6">
        <v>-3.4000000000000002E-2</v>
      </c>
      <c r="K6">
        <v>0.05</v>
      </c>
      <c r="L6">
        <v>38.5</v>
      </c>
      <c r="N6">
        <v>0.91</v>
      </c>
      <c r="O6">
        <v>39.409999999999997</v>
      </c>
      <c r="Q6">
        <v>4.6924487000000001E-2</v>
      </c>
      <c r="S6" s="3">
        <f t="shared" si="0"/>
        <v>36.131854990000001</v>
      </c>
    </row>
    <row r="7" spans="1:21" x14ac:dyDescent="0.2">
      <c r="A7" t="s">
        <v>64</v>
      </c>
      <c r="B7">
        <v>0.187</v>
      </c>
      <c r="C7">
        <v>0</v>
      </c>
      <c r="D7">
        <v>0.109</v>
      </c>
      <c r="E7">
        <v>0.09</v>
      </c>
      <c r="F7">
        <v>0.10199999999999999</v>
      </c>
      <c r="G7">
        <v>7.8E-2</v>
      </c>
      <c r="H7">
        <v>0.33900000000000002</v>
      </c>
      <c r="I7">
        <v>2.9000000000000001E-2</v>
      </c>
      <c r="K7">
        <v>0.05</v>
      </c>
      <c r="L7">
        <v>38.5</v>
      </c>
      <c r="N7">
        <v>13.09</v>
      </c>
      <c r="O7">
        <v>51.59</v>
      </c>
      <c r="Q7">
        <v>6.1426903999999997E-2</v>
      </c>
      <c r="S7" s="3">
        <f t="shared" si="0"/>
        <v>47.298716079999998</v>
      </c>
    </row>
    <row r="8" spans="1:21" x14ac:dyDescent="0.2">
      <c r="A8" t="s">
        <v>68</v>
      </c>
      <c r="B8">
        <v>8.5000000000000006E-2</v>
      </c>
      <c r="C8">
        <v>0.20200000000000001</v>
      </c>
      <c r="D8">
        <v>0.216</v>
      </c>
      <c r="E8">
        <v>7.5999999999999998E-2</v>
      </c>
      <c r="F8">
        <v>0.115</v>
      </c>
      <c r="G8">
        <v>-5.8999999999999997E-2</v>
      </c>
      <c r="H8">
        <v>-0.51800000000000002</v>
      </c>
      <c r="I8">
        <v>2.3E-2</v>
      </c>
      <c r="K8">
        <v>0.05</v>
      </c>
      <c r="L8">
        <v>38.5</v>
      </c>
      <c r="N8">
        <v>5.95</v>
      </c>
      <c r="O8">
        <v>44.45</v>
      </c>
      <c r="Q8">
        <v>5.2925488E-2</v>
      </c>
      <c r="S8" s="3">
        <f t="shared" si="0"/>
        <v>40.752625760000001</v>
      </c>
    </row>
    <row r="9" spans="1:21" x14ac:dyDescent="0.2">
      <c r="A9" t="s">
        <v>72</v>
      </c>
      <c r="B9">
        <v>0.04</v>
      </c>
      <c r="C9">
        <v>4.4999999999999998E-2</v>
      </c>
      <c r="D9">
        <v>7.4999999999999997E-2</v>
      </c>
      <c r="E9">
        <v>7.5999999999999998E-2</v>
      </c>
      <c r="F9">
        <v>0.04</v>
      </c>
      <c r="G9">
        <v>9.9000000000000005E-2</v>
      </c>
      <c r="H9">
        <v>-0.127</v>
      </c>
      <c r="I9">
        <v>0.17699999999999999</v>
      </c>
      <c r="K9">
        <v>0.05</v>
      </c>
      <c r="L9">
        <v>38.5</v>
      </c>
      <c r="N9">
        <v>2.8</v>
      </c>
      <c r="O9">
        <v>41.3</v>
      </c>
      <c r="Q9">
        <v>4.9174862E-2</v>
      </c>
      <c r="S9" s="3">
        <f t="shared" si="0"/>
        <v>37.864643739999998</v>
      </c>
    </row>
    <row r="10" spans="1:21" x14ac:dyDescent="0.2">
      <c r="A10" t="s">
        <v>79</v>
      </c>
      <c r="B10">
        <v>3.5000000000000003E-2</v>
      </c>
      <c r="C10">
        <v>4.2000000000000003E-2</v>
      </c>
      <c r="D10">
        <v>3.2000000000000001E-2</v>
      </c>
      <c r="E10">
        <v>0.14499999999999999</v>
      </c>
      <c r="F10">
        <v>9.7000000000000003E-2</v>
      </c>
      <c r="G10">
        <v>0.21</v>
      </c>
      <c r="H10">
        <v>-9.9000000000000005E-2</v>
      </c>
      <c r="I10">
        <v>7.0000000000000001E-3</v>
      </c>
      <c r="K10">
        <v>0.05</v>
      </c>
      <c r="L10">
        <v>38.5</v>
      </c>
      <c r="N10">
        <v>2.4500000000000002</v>
      </c>
      <c r="O10">
        <v>40.950000000000003</v>
      </c>
      <c r="Q10">
        <v>4.8758125999999999E-2</v>
      </c>
      <c r="S10" s="3">
        <f t="shared" si="0"/>
        <v>37.543757020000001</v>
      </c>
    </row>
    <row r="11" spans="1:21" x14ac:dyDescent="0.2">
      <c r="A11" t="s">
        <v>82</v>
      </c>
      <c r="B11">
        <v>0.17499999999999999</v>
      </c>
      <c r="C11">
        <v>0.21099999999999999</v>
      </c>
      <c r="D11">
        <v>0.29699999999999999</v>
      </c>
      <c r="E11">
        <v>5.8999999999999997E-2</v>
      </c>
      <c r="F11">
        <v>3.5999999999999997E-2</v>
      </c>
      <c r="G11">
        <v>0.126</v>
      </c>
      <c r="H11">
        <v>0.28100000000000003</v>
      </c>
      <c r="I11">
        <v>6.3E-2</v>
      </c>
      <c r="K11">
        <v>0.05</v>
      </c>
      <c r="L11">
        <v>38.5</v>
      </c>
      <c r="N11">
        <v>12.25</v>
      </c>
      <c r="O11">
        <v>50.75</v>
      </c>
      <c r="Q11">
        <v>6.0426738000000001E-2</v>
      </c>
      <c r="S11" s="3">
        <f t="shared" si="0"/>
        <v>46.528588259999999</v>
      </c>
    </row>
    <row r="12" spans="1:21" x14ac:dyDescent="0.2">
      <c r="A12" t="s">
        <v>89</v>
      </c>
      <c r="B12">
        <v>1.2999999999999999E-2</v>
      </c>
      <c r="C12">
        <v>-4.8000000000000001E-2</v>
      </c>
      <c r="D12">
        <v>-0.14299999999999999</v>
      </c>
      <c r="E12">
        <v>2.3E-2</v>
      </c>
      <c r="F12">
        <v>1.7999999999999999E-2</v>
      </c>
      <c r="G12">
        <v>-1.2999999999999999E-2</v>
      </c>
      <c r="H12">
        <v>-0.161</v>
      </c>
      <c r="I12">
        <v>-7.8E-2</v>
      </c>
      <c r="K12">
        <v>0.05</v>
      </c>
      <c r="L12">
        <v>38.5</v>
      </c>
      <c r="N12">
        <v>0.91</v>
      </c>
      <c r="O12">
        <v>39.409999999999997</v>
      </c>
      <c r="Q12">
        <v>4.6924487000000001E-2</v>
      </c>
      <c r="S12" s="3">
        <f t="shared" si="0"/>
        <v>36.131854990000001</v>
      </c>
    </row>
    <row r="13" spans="1:21" x14ac:dyDescent="0.2">
      <c r="A13" t="s">
        <v>95</v>
      </c>
      <c r="B13">
        <v>6.0999999999999999E-2</v>
      </c>
      <c r="C13">
        <v>0.05</v>
      </c>
      <c r="D13">
        <v>6.2E-2</v>
      </c>
      <c r="E13">
        <v>1.7000000000000001E-2</v>
      </c>
      <c r="F13">
        <v>-3.0000000000000001E-3</v>
      </c>
      <c r="G13">
        <v>-1.2999999999999999E-2</v>
      </c>
      <c r="H13">
        <v>-0.17499999999999999</v>
      </c>
      <c r="I13">
        <v>8.4000000000000005E-2</v>
      </c>
      <c r="K13">
        <v>0.05</v>
      </c>
      <c r="L13">
        <v>38.5</v>
      </c>
      <c r="N13">
        <v>4.2699999999999996</v>
      </c>
      <c r="O13">
        <v>42.77</v>
      </c>
      <c r="Q13">
        <v>5.0925154E-2</v>
      </c>
      <c r="S13" s="3">
        <f t="shared" si="0"/>
        <v>39.212368580000003</v>
      </c>
    </row>
    <row r="14" spans="1:21" x14ac:dyDescent="0.2">
      <c r="A14" t="s">
        <v>98</v>
      </c>
      <c r="B14">
        <v>0.14499999999999999</v>
      </c>
      <c r="C14">
        <v>0.22600000000000001</v>
      </c>
      <c r="D14">
        <v>0.106</v>
      </c>
      <c r="E14">
        <v>4.3999999999999997E-2</v>
      </c>
      <c r="F14">
        <v>8.3000000000000004E-2</v>
      </c>
      <c r="G14">
        <v>0.12</v>
      </c>
      <c r="H14">
        <v>0.17499999999999999</v>
      </c>
      <c r="I14">
        <v>0.32600000000000001</v>
      </c>
      <c r="K14">
        <v>0.05</v>
      </c>
      <c r="L14">
        <v>38.5</v>
      </c>
      <c r="N14">
        <v>10.15</v>
      </c>
      <c r="O14">
        <v>48.65</v>
      </c>
      <c r="Q14">
        <v>5.7926321000000003E-2</v>
      </c>
      <c r="S14" s="3">
        <f t="shared" si="0"/>
        <v>44.603267170000002</v>
      </c>
    </row>
    <row r="15" spans="1:21" x14ac:dyDescent="0.2">
      <c r="A15" t="s">
        <v>107</v>
      </c>
      <c r="B15">
        <v>8.8999999999999996E-2</v>
      </c>
      <c r="C15">
        <v>0.123</v>
      </c>
      <c r="D15">
        <v>9.6000000000000002E-2</v>
      </c>
      <c r="E15">
        <v>0.104</v>
      </c>
      <c r="F15">
        <v>5.1999999999999998E-2</v>
      </c>
      <c r="G15">
        <v>0.17499999999999999</v>
      </c>
      <c r="H15">
        <v>0.8</v>
      </c>
      <c r="I15">
        <v>0.17100000000000001</v>
      </c>
      <c r="K15">
        <v>0.05</v>
      </c>
      <c r="L15">
        <v>38.5</v>
      </c>
      <c r="N15">
        <v>6.23</v>
      </c>
      <c r="O15">
        <v>44.73</v>
      </c>
      <c r="Q15">
        <v>5.3258875999999997E-2</v>
      </c>
      <c r="S15" s="3">
        <f t="shared" si="0"/>
        <v>41.009334519999996</v>
      </c>
    </row>
    <row r="16" spans="1:21" x14ac:dyDescent="0.2">
      <c r="A16" t="s">
        <v>114</v>
      </c>
      <c r="B16">
        <v>6.0000000000000001E-3</v>
      </c>
      <c r="C16">
        <v>2.5000000000000001E-2</v>
      </c>
      <c r="D16">
        <v>6.4000000000000001E-2</v>
      </c>
      <c r="E16">
        <v>-1.2E-2</v>
      </c>
      <c r="F16">
        <v>1.0999999999999999E-2</v>
      </c>
      <c r="G16">
        <v>4.8000000000000001E-2</v>
      </c>
      <c r="H16">
        <v>9.4E-2</v>
      </c>
      <c r="I16">
        <v>0.152</v>
      </c>
      <c r="K16">
        <v>0.05</v>
      </c>
      <c r="L16">
        <v>38.5</v>
      </c>
      <c r="N16">
        <v>0.42</v>
      </c>
      <c r="O16">
        <v>38.92</v>
      </c>
      <c r="Q16">
        <v>4.6341056999999998E-2</v>
      </c>
      <c r="S16" s="3">
        <f t="shared" si="0"/>
        <v>35.682613889999999</v>
      </c>
    </row>
    <row r="17" spans="1:19" x14ac:dyDescent="0.2">
      <c r="A17" t="s">
        <v>116</v>
      </c>
      <c r="B17">
        <v>1.2999999999999999E-2</v>
      </c>
      <c r="C17">
        <v>2.3E-2</v>
      </c>
      <c r="D17">
        <v>0.112</v>
      </c>
      <c r="E17">
        <v>7.9000000000000001E-2</v>
      </c>
      <c r="F17">
        <v>0.124</v>
      </c>
      <c r="G17">
        <v>0.105</v>
      </c>
      <c r="H17">
        <v>0.33400000000000002</v>
      </c>
      <c r="I17">
        <v>8.8999999999999996E-2</v>
      </c>
      <c r="K17">
        <v>0.05</v>
      </c>
      <c r="L17">
        <v>38.5</v>
      </c>
      <c r="N17">
        <v>0.91</v>
      </c>
      <c r="O17">
        <v>39.409999999999997</v>
      </c>
      <c r="Q17">
        <v>4.6924487000000001E-2</v>
      </c>
      <c r="S17" s="3">
        <f t="shared" si="0"/>
        <v>36.131854990000001</v>
      </c>
    </row>
    <row r="18" spans="1:19" x14ac:dyDescent="0.2">
      <c r="A18" t="s">
        <v>118</v>
      </c>
      <c r="B18">
        <v>-1.4999999999999999E-2</v>
      </c>
      <c r="C18">
        <v>2.1000000000000001E-2</v>
      </c>
      <c r="D18">
        <v>0.10199999999999999</v>
      </c>
      <c r="E18">
        <v>6.9000000000000006E-2</v>
      </c>
      <c r="F18">
        <v>0.221</v>
      </c>
      <c r="G18">
        <v>0.193</v>
      </c>
      <c r="H18">
        <v>-0.17299999999999999</v>
      </c>
      <c r="I18">
        <v>0.28199999999999997</v>
      </c>
      <c r="K18">
        <v>0.05</v>
      </c>
      <c r="L18">
        <v>38.5</v>
      </c>
      <c r="N18">
        <v>-1.05</v>
      </c>
      <c r="O18">
        <v>37.450000000000003</v>
      </c>
      <c r="Q18">
        <v>4.4590764999999997E-2</v>
      </c>
      <c r="S18" s="3">
        <f t="shared" si="0"/>
        <v>34.334889050000001</v>
      </c>
    </row>
    <row r="19" spans="1:19" x14ac:dyDescent="0.2">
      <c r="A19" t="s">
        <v>122</v>
      </c>
      <c r="B19">
        <v>1.4999999999999999E-2</v>
      </c>
      <c r="C19">
        <v>1.4E-2</v>
      </c>
      <c r="D19">
        <v>1.4E-2</v>
      </c>
      <c r="E19">
        <v>4.5999999999999999E-2</v>
      </c>
      <c r="F19">
        <v>4.2999999999999997E-2</v>
      </c>
      <c r="G19">
        <v>7.4999999999999997E-2</v>
      </c>
      <c r="H19">
        <v>0.26500000000000001</v>
      </c>
      <c r="I19">
        <v>-4.7E-2</v>
      </c>
      <c r="K19">
        <v>0.05</v>
      </c>
      <c r="L19">
        <v>38.5</v>
      </c>
      <c r="N19">
        <v>1.05</v>
      </c>
      <c r="O19">
        <v>39.549999999999997</v>
      </c>
      <c r="Q19">
        <v>4.7091182000000002E-2</v>
      </c>
      <c r="S19" s="3">
        <f t="shared" si="0"/>
        <v>36.260210140000005</v>
      </c>
    </row>
    <row r="20" spans="1:19" x14ac:dyDescent="0.2">
      <c r="A20" t="s">
        <v>127</v>
      </c>
      <c r="B20">
        <v>3.5999999999999997E-2</v>
      </c>
      <c r="C20">
        <v>5.0000000000000001E-3</v>
      </c>
      <c r="D20">
        <v>5.0000000000000001E-3</v>
      </c>
      <c r="E20">
        <v>4.1000000000000002E-2</v>
      </c>
      <c r="F20">
        <v>-1E-3</v>
      </c>
      <c r="G20">
        <v>0.01</v>
      </c>
      <c r="H20">
        <v>0.13800000000000001</v>
      </c>
      <c r="I20">
        <v>-1.0999999999999999E-2</v>
      </c>
      <c r="K20">
        <v>0.05</v>
      </c>
      <c r="L20">
        <v>38.5</v>
      </c>
      <c r="N20">
        <v>2.52</v>
      </c>
      <c r="O20">
        <v>41.02</v>
      </c>
      <c r="Q20">
        <v>4.8841474000000003E-2</v>
      </c>
      <c r="S20" s="3">
        <f t="shared" si="0"/>
        <v>37.607934980000003</v>
      </c>
    </row>
    <row r="21" spans="1:19" x14ac:dyDescent="0.2">
      <c r="A21" t="s">
        <v>131</v>
      </c>
      <c r="B21">
        <v>-1.4E-2</v>
      </c>
      <c r="C21">
        <v>7.0000000000000001E-3</v>
      </c>
      <c r="D21">
        <v>-0.02</v>
      </c>
      <c r="E21">
        <v>1.4E-2</v>
      </c>
      <c r="F21">
        <v>4.0000000000000001E-3</v>
      </c>
      <c r="G21">
        <v>-2E-3</v>
      </c>
      <c r="H21">
        <v>-5.5E-2</v>
      </c>
      <c r="I21">
        <v>-6.0000000000000001E-3</v>
      </c>
      <c r="K21">
        <v>0.05</v>
      </c>
      <c r="L21">
        <v>38.5</v>
      </c>
      <c r="N21">
        <v>-0.98</v>
      </c>
      <c r="O21">
        <v>37.520000000000003</v>
      </c>
      <c r="Q21">
        <v>4.4674112000000002E-2</v>
      </c>
      <c r="S21" s="3">
        <f t="shared" si="0"/>
        <v>34.399066240000003</v>
      </c>
    </row>
    <row r="23" spans="1:19" x14ac:dyDescent="0.2">
      <c r="B23">
        <f>SUM(B2:B22)</f>
        <v>0.998</v>
      </c>
      <c r="C23">
        <f t="shared" ref="C23:I23" si="1">SUM(C2:C22)</f>
        <v>0.996</v>
      </c>
      <c r="D23">
        <f t="shared" si="1"/>
        <v>0.98899999999999988</v>
      </c>
      <c r="E23">
        <f t="shared" si="1"/>
        <v>1.0030000000000001</v>
      </c>
      <c r="F23">
        <f t="shared" si="1"/>
        <v>1.036</v>
      </c>
      <c r="G23">
        <f t="shared" si="1"/>
        <v>1.0469999999999999</v>
      </c>
      <c r="H23">
        <f t="shared" si="1"/>
        <v>1.0010000000000001</v>
      </c>
      <c r="I23">
        <f t="shared" si="1"/>
        <v>1.0020000000000002</v>
      </c>
      <c r="K23">
        <v>700</v>
      </c>
      <c r="L23">
        <v>770</v>
      </c>
      <c r="N23">
        <v>69.86</v>
      </c>
      <c r="O23">
        <v>839.86</v>
      </c>
      <c r="Q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5"/>
  <sheetViews>
    <sheetView tabSelected="1" topLeftCell="B1" workbookViewId="0">
      <selection activeCell="U113" sqref="U2:AB113"/>
    </sheetView>
  </sheetViews>
  <sheetFormatPr defaultRowHeight="10.199999999999999" x14ac:dyDescent="0.2"/>
  <cols>
    <col min="1" max="1" width="95.28515625" bestFit="1" customWidth="1"/>
    <col min="2" max="2" width="25.7109375" style="1" customWidth="1"/>
  </cols>
  <sheetData>
    <row r="1" spans="1:28" x14ac:dyDescent="0.2"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L1">
        <v>2017</v>
      </c>
      <c r="M1">
        <v>2018</v>
      </c>
      <c r="N1">
        <v>2019</v>
      </c>
      <c r="O1">
        <v>2020</v>
      </c>
      <c r="P1">
        <v>2021</v>
      </c>
      <c r="Q1">
        <v>2022</v>
      </c>
      <c r="R1">
        <v>2023</v>
      </c>
      <c r="S1">
        <v>2024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</row>
    <row r="2" spans="1:28" x14ac:dyDescent="0.2">
      <c r="A2" t="s">
        <v>0</v>
      </c>
      <c r="B2" s="1" t="s">
        <v>1</v>
      </c>
      <c r="C2">
        <f>VLOOKUP($B2,gdp_cont!$A$2:$I$21,2,FALSE)</f>
        <v>8.9999999999999993E-3</v>
      </c>
      <c r="D2">
        <f>VLOOKUP($B2,gdp_cont!$A$2:$I$21,3,FALSE)</f>
        <v>-1.4E-2</v>
      </c>
      <c r="E2">
        <f>VLOOKUP($B2,gdp_cont!$A$2:$I$21,4,FALSE)</f>
        <v>-0.01</v>
      </c>
      <c r="F2">
        <f>VLOOKUP($B2,gdp_cont!$A$2:$I$21,5,FALSE)</f>
        <v>7.0000000000000001E-3</v>
      </c>
      <c r="G2">
        <f>VLOOKUP($B2,gdp_cont!$A$2:$I$21,6,FALSE)</f>
        <v>0</v>
      </c>
      <c r="H2">
        <f>VLOOKUP($B2,gdp_cont!$A$2:$I$21,7,FALSE)</f>
        <v>7.0000000000000001E-3</v>
      </c>
      <c r="I2">
        <f>VLOOKUP($B2,gdp_cont!$A$2:$I$21,8,FALSE)</f>
        <v>0</v>
      </c>
      <c r="J2">
        <f>VLOOKUP($B2,gdp_cont!$A$2:$I$21,9,FALSE)</f>
        <v>7.0000000000000001E-3</v>
      </c>
      <c r="L2" s="2">
        <f>C2/COUNTIFS($B$2:$B$113,$B2)</f>
        <v>2.9999999999999996E-3</v>
      </c>
      <c r="M2" s="2">
        <f t="shared" ref="M2:S2" si="0">D2/COUNTIFS($B$2:$B$113,$B2)</f>
        <v>-4.6666666666666671E-3</v>
      </c>
      <c r="N2" s="2">
        <f t="shared" si="0"/>
        <v>-3.3333333333333335E-3</v>
      </c>
      <c r="O2" s="2">
        <f t="shared" si="0"/>
        <v>2.3333333333333335E-3</v>
      </c>
      <c r="P2" s="2">
        <f t="shared" si="0"/>
        <v>0</v>
      </c>
      <c r="Q2" s="2">
        <f t="shared" si="0"/>
        <v>2.3333333333333335E-3</v>
      </c>
      <c r="R2" s="2">
        <f t="shared" si="0"/>
        <v>0</v>
      </c>
      <c r="S2" s="2">
        <f t="shared" si="0"/>
        <v>2.3333333333333335E-3</v>
      </c>
      <c r="U2" s="2">
        <f>L2/L$115</f>
        <v>3.006012024048097E-3</v>
      </c>
      <c r="V2" s="2">
        <f t="shared" ref="V2:AB2" si="1">M2/M$115</f>
        <v>-4.6854082998661313E-3</v>
      </c>
      <c r="W2" s="2">
        <f t="shared" si="1"/>
        <v>-3.3704078193461402E-3</v>
      </c>
      <c r="X2" s="2">
        <f t="shared" si="1"/>
        <v>2.3263542705217691E-3</v>
      </c>
      <c r="Y2" s="2">
        <f t="shared" si="1"/>
        <v>0</v>
      </c>
      <c r="Z2" s="2">
        <f t="shared" si="1"/>
        <v>2.2285896211397633E-3</v>
      </c>
      <c r="AA2" s="2">
        <f t="shared" si="1"/>
        <v>0</v>
      </c>
      <c r="AB2" s="2">
        <f t="shared" si="1"/>
        <v>2.3286759813705917E-3</v>
      </c>
    </row>
    <row r="3" spans="1:28" x14ac:dyDescent="0.2">
      <c r="A3" t="s">
        <v>2</v>
      </c>
      <c r="B3" s="1" t="s">
        <v>1</v>
      </c>
      <c r="C3">
        <f>VLOOKUP($B3,gdp_cont!$A$2:$I$21,2,FALSE)</f>
        <v>8.9999999999999993E-3</v>
      </c>
      <c r="D3">
        <f>VLOOKUP($B3,gdp_cont!$A$2:$I$21,3,FALSE)</f>
        <v>-1.4E-2</v>
      </c>
      <c r="E3">
        <f>VLOOKUP($B3,gdp_cont!$A$2:$I$21,4,FALSE)</f>
        <v>-0.01</v>
      </c>
      <c r="F3">
        <f>VLOOKUP($B3,gdp_cont!$A$2:$I$21,5,FALSE)</f>
        <v>7.0000000000000001E-3</v>
      </c>
      <c r="G3">
        <f>VLOOKUP($B3,gdp_cont!$A$2:$I$21,6,FALSE)</f>
        <v>0</v>
      </c>
      <c r="H3">
        <f>VLOOKUP($B3,gdp_cont!$A$2:$I$21,7,FALSE)</f>
        <v>7.0000000000000001E-3</v>
      </c>
      <c r="I3">
        <f>VLOOKUP($B3,gdp_cont!$A$2:$I$21,8,FALSE)</f>
        <v>0</v>
      </c>
      <c r="J3">
        <f>VLOOKUP($B3,gdp_cont!$A$2:$I$21,9,FALSE)</f>
        <v>7.0000000000000001E-3</v>
      </c>
      <c r="L3" s="2">
        <f t="shared" ref="L3:L24" si="2">C3/COUNTIFS($B$2:$B$113,$B3)</f>
        <v>2.9999999999999996E-3</v>
      </c>
      <c r="M3" s="2">
        <f t="shared" ref="M3:M24" si="3">D3/COUNTIFS($B$2:$B$113,$B3)</f>
        <v>-4.6666666666666671E-3</v>
      </c>
      <c r="N3" s="2">
        <f t="shared" ref="N3:N24" si="4">E3/COUNTIFS($B$2:$B$113,$B3)</f>
        <v>-3.3333333333333335E-3</v>
      </c>
      <c r="O3" s="2">
        <f t="shared" ref="O3:O24" si="5">F3/COUNTIFS($B$2:$B$113,$B3)</f>
        <v>2.3333333333333335E-3</v>
      </c>
      <c r="P3" s="2">
        <f t="shared" ref="P3:P24" si="6">G3/COUNTIFS($B$2:$B$113,$B3)</f>
        <v>0</v>
      </c>
      <c r="Q3" s="2">
        <f t="shared" ref="Q3:Q24" si="7">H3/COUNTIFS($B$2:$B$113,$B3)</f>
        <v>2.3333333333333335E-3</v>
      </c>
      <c r="R3" s="2">
        <f t="shared" ref="R3:R24" si="8">I3/COUNTIFS($B$2:$B$113,$B3)</f>
        <v>0</v>
      </c>
      <c r="S3" s="2">
        <f t="shared" ref="S3:S24" si="9">J3/COUNTIFS($B$2:$B$113,$B3)</f>
        <v>2.3333333333333335E-3</v>
      </c>
      <c r="U3" s="2">
        <f t="shared" ref="U3:U66" si="10">L3/L$115</f>
        <v>3.006012024048097E-3</v>
      </c>
      <c r="V3" s="2">
        <f t="shared" ref="V3:V66" si="11">M3/M$115</f>
        <v>-4.6854082998661313E-3</v>
      </c>
      <c r="W3" s="2">
        <f t="shared" ref="W3:W66" si="12">N3/N$115</f>
        <v>-3.3704078193461402E-3</v>
      </c>
      <c r="X3" s="2">
        <f t="shared" ref="X3:X66" si="13">O3/O$115</f>
        <v>2.3263542705217691E-3</v>
      </c>
      <c r="Y3" s="2">
        <f t="shared" ref="Y3:Y66" si="14">P3/P$115</f>
        <v>0</v>
      </c>
      <c r="Z3" s="2">
        <f t="shared" ref="Z3:Z66" si="15">Q3/Q$115</f>
        <v>2.2285896211397633E-3</v>
      </c>
      <c r="AA3" s="2">
        <f t="shared" ref="AA3:AA66" si="16">R3/R$115</f>
        <v>0</v>
      </c>
      <c r="AB3" s="2">
        <f t="shared" ref="AB3:AB66" si="17">S3/S$115</f>
        <v>2.3286759813705917E-3</v>
      </c>
    </row>
    <row r="4" spans="1:28" x14ac:dyDescent="0.2">
      <c r="A4" t="s">
        <v>3</v>
      </c>
      <c r="B4" s="1" t="s">
        <v>1</v>
      </c>
      <c r="C4">
        <f>VLOOKUP($B4,gdp_cont!$A$2:$I$21,2,FALSE)</f>
        <v>8.9999999999999993E-3</v>
      </c>
      <c r="D4">
        <f>VLOOKUP($B4,gdp_cont!$A$2:$I$21,3,FALSE)</f>
        <v>-1.4E-2</v>
      </c>
      <c r="E4">
        <f>VLOOKUP($B4,gdp_cont!$A$2:$I$21,4,FALSE)</f>
        <v>-0.01</v>
      </c>
      <c r="F4">
        <f>VLOOKUP($B4,gdp_cont!$A$2:$I$21,5,FALSE)</f>
        <v>7.0000000000000001E-3</v>
      </c>
      <c r="G4">
        <f>VLOOKUP($B4,gdp_cont!$A$2:$I$21,6,FALSE)</f>
        <v>0</v>
      </c>
      <c r="H4">
        <f>VLOOKUP($B4,gdp_cont!$A$2:$I$21,7,FALSE)</f>
        <v>7.0000000000000001E-3</v>
      </c>
      <c r="I4">
        <f>VLOOKUP($B4,gdp_cont!$A$2:$I$21,8,FALSE)</f>
        <v>0</v>
      </c>
      <c r="J4">
        <f>VLOOKUP($B4,gdp_cont!$A$2:$I$21,9,FALSE)</f>
        <v>7.0000000000000001E-3</v>
      </c>
      <c r="L4" s="2">
        <f t="shared" si="2"/>
        <v>2.9999999999999996E-3</v>
      </c>
      <c r="M4" s="2">
        <f t="shared" si="3"/>
        <v>-4.6666666666666671E-3</v>
      </c>
      <c r="N4" s="2">
        <f t="shared" si="4"/>
        <v>-3.3333333333333335E-3</v>
      </c>
      <c r="O4" s="2">
        <f t="shared" si="5"/>
        <v>2.3333333333333335E-3</v>
      </c>
      <c r="P4" s="2">
        <f t="shared" si="6"/>
        <v>0</v>
      </c>
      <c r="Q4" s="2">
        <f t="shared" si="7"/>
        <v>2.3333333333333335E-3</v>
      </c>
      <c r="R4" s="2">
        <f t="shared" si="8"/>
        <v>0</v>
      </c>
      <c r="S4" s="2">
        <f t="shared" si="9"/>
        <v>2.3333333333333335E-3</v>
      </c>
      <c r="U4" s="2">
        <f t="shared" si="10"/>
        <v>3.006012024048097E-3</v>
      </c>
      <c r="V4" s="2">
        <f t="shared" si="11"/>
        <v>-4.6854082998661313E-3</v>
      </c>
      <c r="W4" s="2">
        <f t="shared" si="12"/>
        <v>-3.3704078193461402E-3</v>
      </c>
      <c r="X4" s="2">
        <f t="shared" si="13"/>
        <v>2.3263542705217691E-3</v>
      </c>
      <c r="Y4" s="2">
        <f t="shared" si="14"/>
        <v>0</v>
      </c>
      <c r="Z4" s="2">
        <f t="shared" si="15"/>
        <v>2.2285896211397633E-3</v>
      </c>
      <c r="AA4" s="2">
        <f t="shared" si="16"/>
        <v>0</v>
      </c>
      <c r="AB4" s="2">
        <f t="shared" si="17"/>
        <v>2.3286759813705917E-3</v>
      </c>
    </row>
    <row r="5" spans="1:28" x14ac:dyDescent="0.2">
      <c r="A5" t="s">
        <v>4</v>
      </c>
      <c r="B5" s="1" t="s">
        <v>5</v>
      </c>
      <c r="C5">
        <f>VLOOKUP($B5,gdp_cont!$A$2:$I$21,2,FALSE)</f>
        <v>3.0000000000000001E-3</v>
      </c>
      <c r="D5">
        <f>VLOOKUP($B5,gdp_cont!$A$2:$I$21,3,FALSE)</f>
        <v>2.4E-2</v>
      </c>
      <c r="E5">
        <f>VLOOKUP($B5,gdp_cont!$A$2:$I$21,4,FALSE)</f>
        <v>-4.0000000000000001E-3</v>
      </c>
      <c r="F5">
        <f>VLOOKUP($B5,gdp_cont!$A$2:$I$21,5,FALSE)</f>
        <v>1.0999999999999999E-2</v>
      </c>
      <c r="G5">
        <f>VLOOKUP($B5,gdp_cont!$A$2:$I$21,6,FALSE)</f>
        <v>-1.2E-2</v>
      </c>
      <c r="H5">
        <f>VLOOKUP($B5,gdp_cont!$A$2:$I$21,7,FALSE)</f>
        <v>3.0000000000000001E-3</v>
      </c>
      <c r="I5">
        <f>VLOOKUP($B5,gdp_cont!$A$2:$I$21,8,FALSE)</f>
        <v>-0.313</v>
      </c>
      <c r="J5">
        <f>VLOOKUP($B5,gdp_cont!$A$2:$I$21,9,FALSE)</f>
        <v>-0.13700000000000001</v>
      </c>
      <c r="L5" s="2">
        <f t="shared" si="2"/>
        <v>6.0000000000000006E-4</v>
      </c>
      <c r="M5" s="2">
        <f t="shared" si="3"/>
        <v>4.8000000000000004E-3</v>
      </c>
      <c r="N5" s="2">
        <f t="shared" si="4"/>
        <v>-8.0000000000000004E-4</v>
      </c>
      <c r="O5" s="2">
        <f t="shared" si="5"/>
        <v>2.1999999999999997E-3</v>
      </c>
      <c r="P5" s="2">
        <f t="shared" si="6"/>
        <v>-2.4000000000000002E-3</v>
      </c>
      <c r="Q5" s="2">
        <f t="shared" si="7"/>
        <v>6.0000000000000006E-4</v>
      </c>
      <c r="R5" s="2">
        <f t="shared" si="8"/>
        <v>-6.2600000000000003E-2</v>
      </c>
      <c r="S5" s="2">
        <f t="shared" si="9"/>
        <v>-2.7400000000000001E-2</v>
      </c>
      <c r="U5" s="2">
        <f t="shared" si="10"/>
        <v>6.0120240480961954E-4</v>
      </c>
      <c r="V5" s="2">
        <f t="shared" si="11"/>
        <v>4.8192771084337354E-3</v>
      </c>
      <c r="W5" s="2">
        <f t="shared" si="12"/>
        <v>-8.0889787664307361E-4</v>
      </c>
      <c r="X5" s="2">
        <f t="shared" si="13"/>
        <v>2.1934197407776673E-3</v>
      </c>
      <c r="Y5" s="2">
        <f t="shared" si="14"/>
        <v>-2.3166023166023156E-3</v>
      </c>
      <c r="Z5" s="2">
        <f t="shared" si="15"/>
        <v>5.7306590257879631E-4</v>
      </c>
      <c r="AA5" s="2">
        <f t="shared" si="16"/>
        <v>-6.2537462537462549E-2</v>
      </c>
      <c r="AB5" s="2">
        <f t="shared" si="17"/>
        <v>-2.7345309381237519E-2</v>
      </c>
    </row>
    <row r="6" spans="1:28" x14ac:dyDescent="0.2">
      <c r="A6" t="s">
        <v>6</v>
      </c>
      <c r="B6" s="1" t="s">
        <v>5</v>
      </c>
      <c r="C6">
        <f>VLOOKUP($B6,gdp_cont!$A$2:$I$21,2,FALSE)</f>
        <v>3.0000000000000001E-3</v>
      </c>
      <c r="D6">
        <f>VLOOKUP($B6,gdp_cont!$A$2:$I$21,3,FALSE)</f>
        <v>2.4E-2</v>
      </c>
      <c r="E6">
        <f>VLOOKUP($B6,gdp_cont!$A$2:$I$21,4,FALSE)</f>
        <v>-4.0000000000000001E-3</v>
      </c>
      <c r="F6">
        <f>VLOOKUP($B6,gdp_cont!$A$2:$I$21,5,FALSE)</f>
        <v>1.0999999999999999E-2</v>
      </c>
      <c r="G6">
        <f>VLOOKUP($B6,gdp_cont!$A$2:$I$21,6,FALSE)</f>
        <v>-1.2E-2</v>
      </c>
      <c r="H6">
        <f>VLOOKUP($B6,gdp_cont!$A$2:$I$21,7,FALSE)</f>
        <v>3.0000000000000001E-3</v>
      </c>
      <c r="I6">
        <f>VLOOKUP($B6,gdp_cont!$A$2:$I$21,8,FALSE)</f>
        <v>-0.313</v>
      </c>
      <c r="J6">
        <f>VLOOKUP($B6,gdp_cont!$A$2:$I$21,9,FALSE)</f>
        <v>-0.13700000000000001</v>
      </c>
      <c r="L6" s="2">
        <f t="shared" si="2"/>
        <v>6.0000000000000006E-4</v>
      </c>
      <c r="M6" s="2">
        <f t="shared" si="3"/>
        <v>4.8000000000000004E-3</v>
      </c>
      <c r="N6" s="2">
        <f t="shared" si="4"/>
        <v>-8.0000000000000004E-4</v>
      </c>
      <c r="O6" s="2">
        <f t="shared" si="5"/>
        <v>2.1999999999999997E-3</v>
      </c>
      <c r="P6" s="2">
        <f t="shared" si="6"/>
        <v>-2.4000000000000002E-3</v>
      </c>
      <c r="Q6" s="2">
        <f t="shared" si="7"/>
        <v>6.0000000000000006E-4</v>
      </c>
      <c r="R6" s="2">
        <f t="shared" si="8"/>
        <v>-6.2600000000000003E-2</v>
      </c>
      <c r="S6" s="2">
        <f t="shared" si="9"/>
        <v>-2.7400000000000001E-2</v>
      </c>
      <c r="U6" s="2">
        <f t="shared" si="10"/>
        <v>6.0120240480961954E-4</v>
      </c>
      <c r="V6" s="2">
        <f t="shared" si="11"/>
        <v>4.8192771084337354E-3</v>
      </c>
      <c r="W6" s="2">
        <f t="shared" si="12"/>
        <v>-8.0889787664307361E-4</v>
      </c>
      <c r="X6" s="2">
        <f t="shared" si="13"/>
        <v>2.1934197407776673E-3</v>
      </c>
      <c r="Y6" s="2">
        <f t="shared" si="14"/>
        <v>-2.3166023166023156E-3</v>
      </c>
      <c r="Z6" s="2">
        <f t="shared" si="15"/>
        <v>5.7306590257879631E-4</v>
      </c>
      <c r="AA6" s="2">
        <f t="shared" si="16"/>
        <v>-6.2537462537462549E-2</v>
      </c>
      <c r="AB6" s="2">
        <f t="shared" si="17"/>
        <v>-2.7345309381237519E-2</v>
      </c>
    </row>
    <row r="7" spans="1:28" x14ac:dyDescent="0.2">
      <c r="A7" t="s">
        <v>7</v>
      </c>
      <c r="B7" s="1" t="s">
        <v>5</v>
      </c>
      <c r="C7">
        <f>VLOOKUP($B7,gdp_cont!$A$2:$I$21,2,FALSE)</f>
        <v>3.0000000000000001E-3</v>
      </c>
      <c r="D7">
        <f>VLOOKUP($B7,gdp_cont!$A$2:$I$21,3,FALSE)</f>
        <v>2.4E-2</v>
      </c>
      <c r="E7">
        <f>VLOOKUP($B7,gdp_cont!$A$2:$I$21,4,FALSE)</f>
        <v>-4.0000000000000001E-3</v>
      </c>
      <c r="F7">
        <f>VLOOKUP($B7,gdp_cont!$A$2:$I$21,5,FALSE)</f>
        <v>1.0999999999999999E-2</v>
      </c>
      <c r="G7">
        <f>VLOOKUP($B7,gdp_cont!$A$2:$I$21,6,FALSE)</f>
        <v>-1.2E-2</v>
      </c>
      <c r="H7">
        <f>VLOOKUP($B7,gdp_cont!$A$2:$I$21,7,FALSE)</f>
        <v>3.0000000000000001E-3</v>
      </c>
      <c r="I7">
        <f>VLOOKUP($B7,gdp_cont!$A$2:$I$21,8,FALSE)</f>
        <v>-0.313</v>
      </c>
      <c r="J7">
        <f>VLOOKUP($B7,gdp_cont!$A$2:$I$21,9,FALSE)</f>
        <v>-0.13700000000000001</v>
      </c>
      <c r="L7" s="2">
        <f t="shared" si="2"/>
        <v>6.0000000000000006E-4</v>
      </c>
      <c r="M7" s="2">
        <f t="shared" si="3"/>
        <v>4.8000000000000004E-3</v>
      </c>
      <c r="N7" s="2">
        <f t="shared" si="4"/>
        <v>-8.0000000000000004E-4</v>
      </c>
      <c r="O7" s="2">
        <f t="shared" si="5"/>
        <v>2.1999999999999997E-3</v>
      </c>
      <c r="P7" s="2">
        <f t="shared" si="6"/>
        <v>-2.4000000000000002E-3</v>
      </c>
      <c r="Q7" s="2">
        <f t="shared" si="7"/>
        <v>6.0000000000000006E-4</v>
      </c>
      <c r="R7" s="2">
        <f t="shared" si="8"/>
        <v>-6.2600000000000003E-2</v>
      </c>
      <c r="S7" s="2">
        <f t="shared" si="9"/>
        <v>-2.7400000000000001E-2</v>
      </c>
      <c r="U7" s="2">
        <f t="shared" si="10"/>
        <v>6.0120240480961954E-4</v>
      </c>
      <c r="V7" s="2">
        <f t="shared" si="11"/>
        <v>4.8192771084337354E-3</v>
      </c>
      <c r="W7" s="2">
        <f t="shared" si="12"/>
        <v>-8.0889787664307361E-4</v>
      </c>
      <c r="X7" s="2">
        <f t="shared" si="13"/>
        <v>2.1934197407776673E-3</v>
      </c>
      <c r="Y7" s="2">
        <f t="shared" si="14"/>
        <v>-2.3166023166023156E-3</v>
      </c>
      <c r="Z7" s="2">
        <f t="shared" si="15"/>
        <v>5.7306590257879631E-4</v>
      </c>
      <c r="AA7" s="2">
        <f t="shared" si="16"/>
        <v>-6.2537462537462549E-2</v>
      </c>
      <c r="AB7" s="2">
        <f t="shared" si="17"/>
        <v>-2.7345309381237519E-2</v>
      </c>
    </row>
    <row r="8" spans="1:28" x14ac:dyDescent="0.2">
      <c r="A8" t="s">
        <v>8</v>
      </c>
      <c r="B8" s="1" t="s">
        <v>5</v>
      </c>
      <c r="C8">
        <f>VLOOKUP($B8,gdp_cont!$A$2:$I$21,2,FALSE)</f>
        <v>3.0000000000000001E-3</v>
      </c>
      <c r="D8">
        <f>VLOOKUP($B8,gdp_cont!$A$2:$I$21,3,FALSE)</f>
        <v>2.4E-2</v>
      </c>
      <c r="E8">
        <f>VLOOKUP($B8,gdp_cont!$A$2:$I$21,4,FALSE)</f>
        <v>-4.0000000000000001E-3</v>
      </c>
      <c r="F8">
        <f>VLOOKUP($B8,gdp_cont!$A$2:$I$21,5,FALSE)</f>
        <v>1.0999999999999999E-2</v>
      </c>
      <c r="G8">
        <f>VLOOKUP($B8,gdp_cont!$A$2:$I$21,6,FALSE)</f>
        <v>-1.2E-2</v>
      </c>
      <c r="H8">
        <f>VLOOKUP($B8,gdp_cont!$A$2:$I$21,7,FALSE)</f>
        <v>3.0000000000000001E-3</v>
      </c>
      <c r="I8">
        <f>VLOOKUP($B8,gdp_cont!$A$2:$I$21,8,FALSE)</f>
        <v>-0.313</v>
      </c>
      <c r="J8">
        <f>VLOOKUP($B8,gdp_cont!$A$2:$I$21,9,FALSE)</f>
        <v>-0.13700000000000001</v>
      </c>
      <c r="L8" s="2">
        <f t="shared" si="2"/>
        <v>6.0000000000000006E-4</v>
      </c>
      <c r="M8" s="2">
        <f t="shared" si="3"/>
        <v>4.8000000000000004E-3</v>
      </c>
      <c r="N8" s="2">
        <f t="shared" si="4"/>
        <v>-8.0000000000000004E-4</v>
      </c>
      <c r="O8" s="2">
        <f t="shared" si="5"/>
        <v>2.1999999999999997E-3</v>
      </c>
      <c r="P8" s="2">
        <f t="shared" si="6"/>
        <v>-2.4000000000000002E-3</v>
      </c>
      <c r="Q8" s="2">
        <f t="shared" si="7"/>
        <v>6.0000000000000006E-4</v>
      </c>
      <c r="R8" s="2">
        <f t="shared" si="8"/>
        <v>-6.2600000000000003E-2</v>
      </c>
      <c r="S8" s="2">
        <f t="shared" si="9"/>
        <v>-2.7400000000000001E-2</v>
      </c>
      <c r="U8" s="2">
        <f t="shared" si="10"/>
        <v>6.0120240480961954E-4</v>
      </c>
      <c r="V8" s="2">
        <f t="shared" si="11"/>
        <v>4.8192771084337354E-3</v>
      </c>
      <c r="W8" s="2">
        <f t="shared" si="12"/>
        <v>-8.0889787664307361E-4</v>
      </c>
      <c r="X8" s="2">
        <f t="shared" si="13"/>
        <v>2.1934197407776673E-3</v>
      </c>
      <c r="Y8" s="2">
        <f t="shared" si="14"/>
        <v>-2.3166023166023156E-3</v>
      </c>
      <c r="Z8" s="2">
        <f t="shared" si="15"/>
        <v>5.7306590257879631E-4</v>
      </c>
      <c r="AA8" s="2">
        <f t="shared" si="16"/>
        <v>-6.2537462537462549E-2</v>
      </c>
      <c r="AB8" s="2">
        <f t="shared" si="17"/>
        <v>-2.7345309381237519E-2</v>
      </c>
    </row>
    <row r="9" spans="1:28" x14ac:dyDescent="0.2">
      <c r="A9" t="s">
        <v>9</v>
      </c>
      <c r="B9" s="1" t="s">
        <v>5</v>
      </c>
      <c r="C9">
        <f>VLOOKUP($B9,gdp_cont!$A$2:$I$21,2,FALSE)</f>
        <v>3.0000000000000001E-3</v>
      </c>
      <c r="D9">
        <f>VLOOKUP($B9,gdp_cont!$A$2:$I$21,3,FALSE)</f>
        <v>2.4E-2</v>
      </c>
      <c r="E9">
        <f>VLOOKUP($B9,gdp_cont!$A$2:$I$21,4,FALSE)</f>
        <v>-4.0000000000000001E-3</v>
      </c>
      <c r="F9">
        <f>VLOOKUP($B9,gdp_cont!$A$2:$I$21,5,FALSE)</f>
        <v>1.0999999999999999E-2</v>
      </c>
      <c r="G9">
        <f>VLOOKUP($B9,gdp_cont!$A$2:$I$21,6,FALSE)</f>
        <v>-1.2E-2</v>
      </c>
      <c r="H9">
        <f>VLOOKUP($B9,gdp_cont!$A$2:$I$21,7,FALSE)</f>
        <v>3.0000000000000001E-3</v>
      </c>
      <c r="I9">
        <f>VLOOKUP($B9,gdp_cont!$A$2:$I$21,8,FALSE)</f>
        <v>-0.313</v>
      </c>
      <c r="J9">
        <f>VLOOKUP($B9,gdp_cont!$A$2:$I$21,9,FALSE)</f>
        <v>-0.13700000000000001</v>
      </c>
      <c r="L9" s="2">
        <f t="shared" si="2"/>
        <v>6.0000000000000006E-4</v>
      </c>
      <c r="M9" s="2">
        <f t="shared" si="3"/>
        <v>4.8000000000000004E-3</v>
      </c>
      <c r="N9" s="2">
        <f t="shared" si="4"/>
        <v>-8.0000000000000004E-4</v>
      </c>
      <c r="O9" s="2">
        <f t="shared" si="5"/>
        <v>2.1999999999999997E-3</v>
      </c>
      <c r="P9" s="2">
        <f t="shared" si="6"/>
        <v>-2.4000000000000002E-3</v>
      </c>
      <c r="Q9" s="2">
        <f t="shared" si="7"/>
        <v>6.0000000000000006E-4</v>
      </c>
      <c r="R9" s="2">
        <f t="shared" si="8"/>
        <v>-6.2600000000000003E-2</v>
      </c>
      <c r="S9" s="2">
        <f t="shared" si="9"/>
        <v>-2.7400000000000001E-2</v>
      </c>
      <c r="U9" s="2">
        <f t="shared" si="10"/>
        <v>6.0120240480961954E-4</v>
      </c>
      <c r="V9" s="2">
        <f t="shared" si="11"/>
        <v>4.8192771084337354E-3</v>
      </c>
      <c r="W9" s="2">
        <f t="shared" si="12"/>
        <v>-8.0889787664307361E-4</v>
      </c>
      <c r="X9" s="2">
        <f t="shared" si="13"/>
        <v>2.1934197407776673E-3</v>
      </c>
      <c r="Y9" s="2">
        <f t="shared" si="14"/>
        <v>-2.3166023166023156E-3</v>
      </c>
      <c r="Z9" s="2">
        <f t="shared" si="15"/>
        <v>5.7306590257879631E-4</v>
      </c>
      <c r="AA9" s="2">
        <f t="shared" si="16"/>
        <v>-6.2537462537462549E-2</v>
      </c>
      <c r="AB9" s="2">
        <f t="shared" si="17"/>
        <v>-2.7345309381237519E-2</v>
      </c>
    </row>
    <row r="10" spans="1:28" x14ac:dyDescent="0.2">
      <c r="A10" t="s">
        <v>10</v>
      </c>
      <c r="B10" s="1" t="s">
        <v>11</v>
      </c>
      <c r="C10">
        <f>VLOOKUP($B10,gdp_cont!$A$2:$I$21,2,FALSE)</f>
        <v>0.115</v>
      </c>
      <c r="D10">
        <f>VLOOKUP($B10,gdp_cont!$A$2:$I$21,3,FALSE)</f>
        <v>5.1999999999999998E-2</v>
      </c>
      <c r="E10">
        <f>VLOOKUP($B10,gdp_cont!$A$2:$I$21,4,FALSE)</f>
        <v>-0.105</v>
      </c>
      <c r="F10">
        <f>VLOOKUP($B10,gdp_cont!$A$2:$I$21,5,FALSE)</f>
        <v>0.105</v>
      </c>
      <c r="G10">
        <f>VLOOKUP($B10,gdp_cont!$A$2:$I$21,6,FALSE)</f>
        <v>9.2999999999999999E-2</v>
      </c>
      <c r="H10">
        <f>VLOOKUP($B10,gdp_cont!$A$2:$I$21,7,FALSE)</f>
        <v>-0.107</v>
      </c>
      <c r="I10">
        <f>VLOOKUP($B10,gdp_cont!$A$2:$I$21,8,FALSE)</f>
        <v>0.33200000000000002</v>
      </c>
      <c r="J10">
        <f>VLOOKUP($B10,gdp_cont!$A$2:$I$21,9,FALSE)</f>
        <v>-7.0000000000000007E-2</v>
      </c>
      <c r="L10" s="2">
        <f t="shared" si="2"/>
        <v>2.6136363636363636E-3</v>
      </c>
      <c r="M10" s="2">
        <f t="shared" si="3"/>
        <v>1.1818181818181817E-3</v>
      </c>
      <c r="N10" s="2">
        <f t="shared" si="4"/>
        <v>-2.3863636363636361E-3</v>
      </c>
      <c r="O10" s="2">
        <f t="shared" si="5"/>
        <v>2.3863636363636361E-3</v>
      </c>
      <c r="P10" s="2">
        <f t="shared" si="6"/>
        <v>2.1136363636363635E-3</v>
      </c>
      <c r="Q10" s="2">
        <f t="shared" si="7"/>
        <v>-2.4318181818181817E-3</v>
      </c>
      <c r="R10" s="2">
        <f t="shared" si="8"/>
        <v>7.5454545454545462E-3</v>
      </c>
      <c r="S10" s="2">
        <f t="shared" si="9"/>
        <v>-1.590909090909091E-3</v>
      </c>
      <c r="U10" s="2">
        <f t="shared" si="10"/>
        <v>2.6188741118600848E-3</v>
      </c>
      <c r="V10" s="2">
        <f t="shared" si="11"/>
        <v>1.1865644395764876E-3</v>
      </c>
      <c r="W10" s="2">
        <f t="shared" si="12"/>
        <v>-2.4129055979409861E-3</v>
      </c>
      <c r="X10" s="2">
        <f t="shared" si="13"/>
        <v>2.3792259584881725E-3</v>
      </c>
      <c r="Y10" s="2">
        <f t="shared" si="14"/>
        <v>2.0401895401895393E-3</v>
      </c>
      <c r="Z10" s="2">
        <f t="shared" si="15"/>
        <v>-2.3226534687852724E-3</v>
      </c>
      <c r="AA10" s="2">
        <f t="shared" si="16"/>
        <v>7.5379166288257211E-3</v>
      </c>
      <c r="AB10" s="2">
        <f t="shared" si="17"/>
        <v>-1.587733623661767E-3</v>
      </c>
    </row>
    <row r="11" spans="1:28" x14ac:dyDescent="0.2">
      <c r="A11" t="s">
        <v>12</v>
      </c>
      <c r="B11" s="1" t="s">
        <v>11</v>
      </c>
      <c r="C11">
        <f>VLOOKUP($B11,gdp_cont!$A$2:$I$21,2,FALSE)</f>
        <v>0.115</v>
      </c>
      <c r="D11">
        <f>VLOOKUP($B11,gdp_cont!$A$2:$I$21,3,FALSE)</f>
        <v>5.1999999999999998E-2</v>
      </c>
      <c r="E11">
        <f>VLOOKUP($B11,gdp_cont!$A$2:$I$21,4,FALSE)</f>
        <v>-0.105</v>
      </c>
      <c r="F11">
        <f>VLOOKUP($B11,gdp_cont!$A$2:$I$21,5,FALSE)</f>
        <v>0.105</v>
      </c>
      <c r="G11">
        <f>VLOOKUP($B11,gdp_cont!$A$2:$I$21,6,FALSE)</f>
        <v>9.2999999999999999E-2</v>
      </c>
      <c r="H11">
        <f>VLOOKUP($B11,gdp_cont!$A$2:$I$21,7,FALSE)</f>
        <v>-0.107</v>
      </c>
      <c r="I11">
        <f>VLOOKUP($B11,gdp_cont!$A$2:$I$21,8,FALSE)</f>
        <v>0.33200000000000002</v>
      </c>
      <c r="J11">
        <f>VLOOKUP($B11,gdp_cont!$A$2:$I$21,9,FALSE)</f>
        <v>-7.0000000000000007E-2</v>
      </c>
      <c r="L11" s="2">
        <f t="shared" si="2"/>
        <v>2.6136363636363636E-3</v>
      </c>
      <c r="M11" s="2">
        <f t="shared" si="3"/>
        <v>1.1818181818181817E-3</v>
      </c>
      <c r="N11" s="2">
        <f t="shared" si="4"/>
        <v>-2.3863636363636361E-3</v>
      </c>
      <c r="O11" s="2">
        <f t="shared" si="5"/>
        <v>2.3863636363636361E-3</v>
      </c>
      <c r="P11" s="2">
        <f t="shared" si="6"/>
        <v>2.1136363636363635E-3</v>
      </c>
      <c r="Q11" s="2">
        <f t="shared" si="7"/>
        <v>-2.4318181818181817E-3</v>
      </c>
      <c r="R11" s="2">
        <f t="shared" si="8"/>
        <v>7.5454545454545462E-3</v>
      </c>
      <c r="S11" s="2">
        <f t="shared" si="9"/>
        <v>-1.590909090909091E-3</v>
      </c>
      <c r="U11" s="2">
        <f t="shared" si="10"/>
        <v>2.6188741118600848E-3</v>
      </c>
      <c r="V11" s="2">
        <f t="shared" si="11"/>
        <v>1.1865644395764876E-3</v>
      </c>
      <c r="W11" s="2">
        <f t="shared" si="12"/>
        <v>-2.4129055979409861E-3</v>
      </c>
      <c r="X11" s="2">
        <f t="shared" si="13"/>
        <v>2.3792259584881725E-3</v>
      </c>
      <c r="Y11" s="2">
        <f t="shared" si="14"/>
        <v>2.0401895401895393E-3</v>
      </c>
      <c r="Z11" s="2">
        <f t="shared" si="15"/>
        <v>-2.3226534687852724E-3</v>
      </c>
      <c r="AA11" s="2">
        <f t="shared" si="16"/>
        <v>7.5379166288257211E-3</v>
      </c>
      <c r="AB11" s="2">
        <f t="shared" si="17"/>
        <v>-1.587733623661767E-3</v>
      </c>
    </row>
    <row r="12" spans="1:28" x14ac:dyDescent="0.2">
      <c r="A12" t="s">
        <v>13</v>
      </c>
      <c r="B12" s="1" t="s">
        <v>11</v>
      </c>
      <c r="C12">
        <f>VLOOKUP($B12,gdp_cont!$A$2:$I$21,2,FALSE)</f>
        <v>0.115</v>
      </c>
      <c r="D12">
        <f>VLOOKUP($B12,gdp_cont!$A$2:$I$21,3,FALSE)</f>
        <v>5.1999999999999998E-2</v>
      </c>
      <c r="E12">
        <f>VLOOKUP($B12,gdp_cont!$A$2:$I$21,4,FALSE)</f>
        <v>-0.105</v>
      </c>
      <c r="F12">
        <f>VLOOKUP($B12,gdp_cont!$A$2:$I$21,5,FALSE)</f>
        <v>0.105</v>
      </c>
      <c r="G12">
        <f>VLOOKUP($B12,gdp_cont!$A$2:$I$21,6,FALSE)</f>
        <v>9.2999999999999999E-2</v>
      </c>
      <c r="H12">
        <f>VLOOKUP($B12,gdp_cont!$A$2:$I$21,7,FALSE)</f>
        <v>-0.107</v>
      </c>
      <c r="I12">
        <f>VLOOKUP($B12,gdp_cont!$A$2:$I$21,8,FALSE)</f>
        <v>0.33200000000000002</v>
      </c>
      <c r="J12">
        <f>VLOOKUP($B12,gdp_cont!$A$2:$I$21,9,FALSE)</f>
        <v>-7.0000000000000007E-2</v>
      </c>
      <c r="L12" s="2">
        <f t="shared" si="2"/>
        <v>2.6136363636363636E-3</v>
      </c>
      <c r="M12" s="2">
        <f t="shared" si="3"/>
        <v>1.1818181818181817E-3</v>
      </c>
      <c r="N12" s="2">
        <f t="shared" si="4"/>
        <v>-2.3863636363636361E-3</v>
      </c>
      <c r="O12" s="2">
        <f t="shared" si="5"/>
        <v>2.3863636363636361E-3</v>
      </c>
      <c r="P12" s="2">
        <f t="shared" si="6"/>
        <v>2.1136363636363635E-3</v>
      </c>
      <c r="Q12" s="2">
        <f t="shared" si="7"/>
        <v>-2.4318181818181817E-3</v>
      </c>
      <c r="R12" s="2">
        <f t="shared" si="8"/>
        <v>7.5454545454545462E-3</v>
      </c>
      <c r="S12" s="2">
        <f t="shared" si="9"/>
        <v>-1.590909090909091E-3</v>
      </c>
      <c r="U12" s="2">
        <f t="shared" si="10"/>
        <v>2.6188741118600848E-3</v>
      </c>
      <c r="V12" s="2">
        <f t="shared" si="11"/>
        <v>1.1865644395764876E-3</v>
      </c>
      <c r="W12" s="2">
        <f t="shared" si="12"/>
        <v>-2.4129055979409861E-3</v>
      </c>
      <c r="X12" s="2">
        <f t="shared" si="13"/>
        <v>2.3792259584881725E-3</v>
      </c>
      <c r="Y12" s="2">
        <f t="shared" si="14"/>
        <v>2.0401895401895393E-3</v>
      </c>
      <c r="Z12" s="2">
        <f t="shared" si="15"/>
        <v>-2.3226534687852724E-3</v>
      </c>
      <c r="AA12" s="2">
        <f t="shared" si="16"/>
        <v>7.5379166288257211E-3</v>
      </c>
      <c r="AB12" s="2">
        <f t="shared" si="17"/>
        <v>-1.587733623661767E-3</v>
      </c>
    </row>
    <row r="13" spans="1:28" x14ac:dyDescent="0.2">
      <c r="A13" t="s">
        <v>14</v>
      </c>
      <c r="B13" s="1" t="s">
        <v>11</v>
      </c>
      <c r="C13">
        <f>VLOOKUP($B13,gdp_cont!$A$2:$I$21,2,FALSE)</f>
        <v>0.115</v>
      </c>
      <c r="D13">
        <f>VLOOKUP($B13,gdp_cont!$A$2:$I$21,3,FALSE)</f>
        <v>5.1999999999999998E-2</v>
      </c>
      <c r="E13">
        <f>VLOOKUP($B13,gdp_cont!$A$2:$I$21,4,FALSE)</f>
        <v>-0.105</v>
      </c>
      <c r="F13">
        <f>VLOOKUP($B13,gdp_cont!$A$2:$I$21,5,FALSE)</f>
        <v>0.105</v>
      </c>
      <c r="G13">
        <f>VLOOKUP($B13,gdp_cont!$A$2:$I$21,6,FALSE)</f>
        <v>9.2999999999999999E-2</v>
      </c>
      <c r="H13">
        <f>VLOOKUP($B13,gdp_cont!$A$2:$I$21,7,FALSE)</f>
        <v>-0.107</v>
      </c>
      <c r="I13">
        <f>VLOOKUP($B13,gdp_cont!$A$2:$I$21,8,FALSE)</f>
        <v>0.33200000000000002</v>
      </c>
      <c r="J13">
        <f>VLOOKUP($B13,gdp_cont!$A$2:$I$21,9,FALSE)</f>
        <v>-7.0000000000000007E-2</v>
      </c>
      <c r="L13" s="2">
        <f t="shared" si="2"/>
        <v>2.6136363636363636E-3</v>
      </c>
      <c r="M13" s="2">
        <f t="shared" si="3"/>
        <v>1.1818181818181817E-3</v>
      </c>
      <c r="N13" s="2">
        <f t="shared" si="4"/>
        <v>-2.3863636363636361E-3</v>
      </c>
      <c r="O13" s="2">
        <f t="shared" si="5"/>
        <v>2.3863636363636361E-3</v>
      </c>
      <c r="P13" s="2">
        <f t="shared" si="6"/>
        <v>2.1136363636363635E-3</v>
      </c>
      <c r="Q13" s="2">
        <f t="shared" si="7"/>
        <v>-2.4318181818181817E-3</v>
      </c>
      <c r="R13" s="2">
        <f t="shared" si="8"/>
        <v>7.5454545454545462E-3</v>
      </c>
      <c r="S13" s="2">
        <f t="shared" si="9"/>
        <v>-1.590909090909091E-3</v>
      </c>
      <c r="U13" s="2">
        <f t="shared" si="10"/>
        <v>2.6188741118600848E-3</v>
      </c>
      <c r="V13" s="2">
        <f t="shared" si="11"/>
        <v>1.1865644395764876E-3</v>
      </c>
      <c r="W13" s="2">
        <f t="shared" si="12"/>
        <v>-2.4129055979409861E-3</v>
      </c>
      <c r="X13" s="2">
        <f t="shared" si="13"/>
        <v>2.3792259584881725E-3</v>
      </c>
      <c r="Y13" s="2">
        <f t="shared" si="14"/>
        <v>2.0401895401895393E-3</v>
      </c>
      <c r="Z13" s="2">
        <f t="shared" si="15"/>
        <v>-2.3226534687852724E-3</v>
      </c>
      <c r="AA13" s="2">
        <f t="shared" si="16"/>
        <v>7.5379166288257211E-3</v>
      </c>
      <c r="AB13" s="2">
        <f t="shared" si="17"/>
        <v>-1.587733623661767E-3</v>
      </c>
    </row>
    <row r="14" spans="1:28" x14ac:dyDescent="0.2">
      <c r="A14" t="s">
        <v>15</v>
      </c>
      <c r="B14" s="1" t="s">
        <v>11</v>
      </c>
      <c r="C14">
        <f>VLOOKUP($B14,gdp_cont!$A$2:$I$21,2,FALSE)</f>
        <v>0.115</v>
      </c>
      <c r="D14">
        <f>VLOOKUP($B14,gdp_cont!$A$2:$I$21,3,FALSE)</f>
        <v>5.1999999999999998E-2</v>
      </c>
      <c r="E14">
        <f>VLOOKUP($B14,gdp_cont!$A$2:$I$21,4,FALSE)</f>
        <v>-0.105</v>
      </c>
      <c r="F14">
        <f>VLOOKUP($B14,gdp_cont!$A$2:$I$21,5,FALSE)</f>
        <v>0.105</v>
      </c>
      <c r="G14">
        <f>VLOOKUP($B14,gdp_cont!$A$2:$I$21,6,FALSE)</f>
        <v>9.2999999999999999E-2</v>
      </c>
      <c r="H14">
        <f>VLOOKUP($B14,gdp_cont!$A$2:$I$21,7,FALSE)</f>
        <v>-0.107</v>
      </c>
      <c r="I14">
        <f>VLOOKUP($B14,gdp_cont!$A$2:$I$21,8,FALSE)</f>
        <v>0.33200000000000002</v>
      </c>
      <c r="J14">
        <f>VLOOKUP($B14,gdp_cont!$A$2:$I$21,9,FALSE)</f>
        <v>-7.0000000000000007E-2</v>
      </c>
      <c r="L14" s="2">
        <f t="shared" si="2"/>
        <v>2.6136363636363636E-3</v>
      </c>
      <c r="M14" s="2">
        <f t="shared" si="3"/>
        <v>1.1818181818181817E-3</v>
      </c>
      <c r="N14" s="2">
        <f t="shared" si="4"/>
        <v>-2.3863636363636361E-3</v>
      </c>
      <c r="O14" s="2">
        <f t="shared" si="5"/>
        <v>2.3863636363636361E-3</v>
      </c>
      <c r="P14" s="2">
        <f t="shared" si="6"/>
        <v>2.1136363636363635E-3</v>
      </c>
      <c r="Q14" s="2">
        <f t="shared" si="7"/>
        <v>-2.4318181818181817E-3</v>
      </c>
      <c r="R14" s="2">
        <f t="shared" si="8"/>
        <v>7.5454545454545462E-3</v>
      </c>
      <c r="S14" s="2">
        <f t="shared" si="9"/>
        <v>-1.590909090909091E-3</v>
      </c>
      <c r="U14" s="2">
        <f t="shared" si="10"/>
        <v>2.6188741118600848E-3</v>
      </c>
      <c r="V14" s="2">
        <f t="shared" si="11"/>
        <v>1.1865644395764876E-3</v>
      </c>
      <c r="W14" s="2">
        <f t="shared" si="12"/>
        <v>-2.4129055979409861E-3</v>
      </c>
      <c r="X14" s="2">
        <f t="shared" si="13"/>
        <v>2.3792259584881725E-3</v>
      </c>
      <c r="Y14" s="2">
        <f t="shared" si="14"/>
        <v>2.0401895401895393E-3</v>
      </c>
      <c r="Z14" s="2">
        <f t="shared" si="15"/>
        <v>-2.3226534687852724E-3</v>
      </c>
      <c r="AA14" s="2">
        <f t="shared" si="16"/>
        <v>7.5379166288257211E-3</v>
      </c>
      <c r="AB14" s="2">
        <f t="shared" si="17"/>
        <v>-1.587733623661767E-3</v>
      </c>
    </row>
    <row r="15" spans="1:28" x14ac:dyDescent="0.2">
      <c r="A15" t="s">
        <v>16</v>
      </c>
      <c r="B15" s="1" t="s">
        <v>11</v>
      </c>
      <c r="C15">
        <f>VLOOKUP($B15,gdp_cont!$A$2:$I$21,2,FALSE)</f>
        <v>0.115</v>
      </c>
      <c r="D15">
        <f>VLOOKUP($B15,gdp_cont!$A$2:$I$21,3,FALSE)</f>
        <v>5.1999999999999998E-2</v>
      </c>
      <c r="E15">
        <f>VLOOKUP($B15,gdp_cont!$A$2:$I$21,4,FALSE)</f>
        <v>-0.105</v>
      </c>
      <c r="F15">
        <f>VLOOKUP($B15,gdp_cont!$A$2:$I$21,5,FALSE)</f>
        <v>0.105</v>
      </c>
      <c r="G15">
        <f>VLOOKUP($B15,gdp_cont!$A$2:$I$21,6,FALSE)</f>
        <v>9.2999999999999999E-2</v>
      </c>
      <c r="H15">
        <f>VLOOKUP($B15,gdp_cont!$A$2:$I$21,7,FALSE)</f>
        <v>-0.107</v>
      </c>
      <c r="I15">
        <f>VLOOKUP($B15,gdp_cont!$A$2:$I$21,8,FALSE)</f>
        <v>0.33200000000000002</v>
      </c>
      <c r="J15">
        <f>VLOOKUP($B15,gdp_cont!$A$2:$I$21,9,FALSE)</f>
        <v>-7.0000000000000007E-2</v>
      </c>
      <c r="L15" s="2">
        <f t="shared" si="2"/>
        <v>2.6136363636363636E-3</v>
      </c>
      <c r="M15" s="2">
        <f t="shared" si="3"/>
        <v>1.1818181818181817E-3</v>
      </c>
      <c r="N15" s="2">
        <f t="shared" si="4"/>
        <v>-2.3863636363636361E-3</v>
      </c>
      <c r="O15" s="2">
        <f t="shared" si="5"/>
        <v>2.3863636363636361E-3</v>
      </c>
      <c r="P15" s="2">
        <f t="shared" si="6"/>
        <v>2.1136363636363635E-3</v>
      </c>
      <c r="Q15" s="2">
        <f t="shared" si="7"/>
        <v>-2.4318181818181817E-3</v>
      </c>
      <c r="R15" s="2">
        <f t="shared" si="8"/>
        <v>7.5454545454545462E-3</v>
      </c>
      <c r="S15" s="2">
        <f t="shared" si="9"/>
        <v>-1.590909090909091E-3</v>
      </c>
      <c r="U15" s="2">
        <f t="shared" si="10"/>
        <v>2.6188741118600848E-3</v>
      </c>
      <c r="V15" s="2">
        <f t="shared" si="11"/>
        <v>1.1865644395764876E-3</v>
      </c>
      <c r="W15" s="2">
        <f t="shared" si="12"/>
        <v>-2.4129055979409861E-3</v>
      </c>
      <c r="X15" s="2">
        <f t="shared" si="13"/>
        <v>2.3792259584881725E-3</v>
      </c>
      <c r="Y15" s="2">
        <f t="shared" si="14"/>
        <v>2.0401895401895393E-3</v>
      </c>
      <c r="Z15" s="2">
        <f t="shared" si="15"/>
        <v>-2.3226534687852724E-3</v>
      </c>
      <c r="AA15" s="2">
        <f t="shared" si="16"/>
        <v>7.5379166288257211E-3</v>
      </c>
      <c r="AB15" s="2">
        <f t="shared" si="17"/>
        <v>-1.587733623661767E-3</v>
      </c>
    </row>
    <row r="16" spans="1:28" x14ac:dyDescent="0.2">
      <c r="A16" t="s">
        <v>17</v>
      </c>
      <c r="B16" s="1" t="s">
        <v>11</v>
      </c>
      <c r="C16">
        <f>VLOOKUP($B16,gdp_cont!$A$2:$I$21,2,FALSE)</f>
        <v>0.115</v>
      </c>
      <c r="D16">
        <f>VLOOKUP($B16,gdp_cont!$A$2:$I$21,3,FALSE)</f>
        <v>5.1999999999999998E-2</v>
      </c>
      <c r="E16">
        <f>VLOOKUP($B16,gdp_cont!$A$2:$I$21,4,FALSE)</f>
        <v>-0.105</v>
      </c>
      <c r="F16">
        <f>VLOOKUP($B16,gdp_cont!$A$2:$I$21,5,FALSE)</f>
        <v>0.105</v>
      </c>
      <c r="G16">
        <f>VLOOKUP($B16,gdp_cont!$A$2:$I$21,6,FALSE)</f>
        <v>9.2999999999999999E-2</v>
      </c>
      <c r="H16">
        <f>VLOOKUP($B16,gdp_cont!$A$2:$I$21,7,FALSE)</f>
        <v>-0.107</v>
      </c>
      <c r="I16">
        <f>VLOOKUP($B16,gdp_cont!$A$2:$I$21,8,FALSE)</f>
        <v>0.33200000000000002</v>
      </c>
      <c r="J16">
        <f>VLOOKUP($B16,gdp_cont!$A$2:$I$21,9,FALSE)</f>
        <v>-7.0000000000000007E-2</v>
      </c>
      <c r="L16" s="2">
        <f t="shared" si="2"/>
        <v>2.6136363636363636E-3</v>
      </c>
      <c r="M16" s="2">
        <f t="shared" si="3"/>
        <v>1.1818181818181817E-3</v>
      </c>
      <c r="N16" s="2">
        <f t="shared" si="4"/>
        <v>-2.3863636363636361E-3</v>
      </c>
      <c r="O16" s="2">
        <f t="shared" si="5"/>
        <v>2.3863636363636361E-3</v>
      </c>
      <c r="P16" s="2">
        <f t="shared" si="6"/>
        <v>2.1136363636363635E-3</v>
      </c>
      <c r="Q16" s="2">
        <f t="shared" si="7"/>
        <v>-2.4318181818181817E-3</v>
      </c>
      <c r="R16" s="2">
        <f t="shared" si="8"/>
        <v>7.5454545454545462E-3</v>
      </c>
      <c r="S16" s="2">
        <f t="shared" si="9"/>
        <v>-1.590909090909091E-3</v>
      </c>
      <c r="U16" s="2">
        <f t="shared" si="10"/>
        <v>2.6188741118600848E-3</v>
      </c>
      <c r="V16" s="2">
        <f t="shared" si="11"/>
        <v>1.1865644395764876E-3</v>
      </c>
      <c r="W16" s="2">
        <f t="shared" si="12"/>
        <v>-2.4129055979409861E-3</v>
      </c>
      <c r="X16" s="2">
        <f t="shared" si="13"/>
        <v>2.3792259584881725E-3</v>
      </c>
      <c r="Y16" s="2">
        <f t="shared" si="14"/>
        <v>2.0401895401895393E-3</v>
      </c>
      <c r="Z16" s="2">
        <f t="shared" si="15"/>
        <v>-2.3226534687852724E-3</v>
      </c>
      <c r="AA16" s="2">
        <f t="shared" si="16"/>
        <v>7.5379166288257211E-3</v>
      </c>
      <c r="AB16" s="2">
        <f t="shared" si="17"/>
        <v>-1.587733623661767E-3</v>
      </c>
    </row>
    <row r="17" spans="1:28" x14ac:dyDescent="0.2">
      <c r="A17" t="s">
        <v>18</v>
      </c>
      <c r="B17" s="1" t="s">
        <v>11</v>
      </c>
      <c r="C17">
        <f>VLOOKUP($B17,gdp_cont!$A$2:$I$21,2,FALSE)</f>
        <v>0.115</v>
      </c>
      <c r="D17">
        <f>VLOOKUP($B17,gdp_cont!$A$2:$I$21,3,FALSE)</f>
        <v>5.1999999999999998E-2</v>
      </c>
      <c r="E17">
        <f>VLOOKUP($B17,gdp_cont!$A$2:$I$21,4,FALSE)</f>
        <v>-0.105</v>
      </c>
      <c r="F17">
        <f>VLOOKUP($B17,gdp_cont!$A$2:$I$21,5,FALSE)</f>
        <v>0.105</v>
      </c>
      <c r="G17">
        <f>VLOOKUP($B17,gdp_cont!$A$2:$I$21,6,FALSE)</f>
        <v>9.2999999999999999E-2</v>
      </c>
      <c r="H17">
        <f>VLOOKUP($B17,gdp_cont!$A$2:$I$21,7,FALSE)</f>
        <v>-0.107</v>
      </c>
      <c r="I17">
        <f>VLOOKUP($B17,gdp_cont!$A$2:$I$21,8,FALSE)</f>
        <v>0.33200000000000002</v>
      </c>
      <c r="J17">
        <f>VLOOKUP($B17,gdp_cont!$A$2:$I$21,9,FALSE)</f>
        <v>-7.0000000000000007E-2</v>
      </c>
      <c r="L17" s="2">
        <f t="shared" si="2"/>
        <v>2.6136363636363636E-3</v>
      </c>
      <c r="M17" s="2">
        <f t="shared" si="3"/>
        <v>1.1818181818181817E-3</v>
      </c>
      <c r="N17" s="2">
        <f t="shared" si="4"/>
        <v>-2.3863636363636361E-3</v>
      </c>
      <c r="O17" s="2">
        <f t="shared" si="5"/>
        <v>2.3863636363636361E-3</v>
      </c>
      <c r="P17" s="2">
        <f t="shared" si="6"/>
        <v>2.1136363636363635E-3</v>
      </c>
      <c r="Q17" s="2">
        <f t="shared" si="7"/>
        <v>-2.4318181818181817E-3</v>
      </c>
      <c r="R17" s="2">
        <f t="shared" si="8"/>
        <v>7.5454545454545462E-3</v>
      </c>
      <c r="S17" s="2">
        <f t="shared" si="9"/>
        <v>-1.590909090909091E-3</v>
      </c>
      <c r="U17" s="2">
        <f t="shared" si="10"/>
        <v>2.6188741118600848E-3</v>
      </c>
      <c r="V17" s="2">
        <f t="shared" si="11"/>
        <v>1.1865644395764876E-3</v>
      </c>
      <c r="W17" s="2">
        <f t="shared" si="12"/>
        <v>-2.4129055979409861E-3</v>
      </c>
      <c r="X17" s="2">
        <f t="shared" si="13"/>
        <v>2.3792259584881725E-3</v>
      </c>
      <c r="Y17" s="2">
        <f t="shared" si="14"/>
        <v>2.0401895401895393E-3</v>
      </c>
      <c r="Z17" s="2">
        <f t="shared" si="15"/>
        <v>-2.3226534687852724E-3</v>
      </c>
      <c r="AA17" s="2">
        <f t="shared" si="16"/>
        <v>7.5379166288257211E-3</v>
      </c>
      <c r="AB17" s="2">
        <f t="shared" si="17"/>
        <v>-1.587733623661767E-3</v>
      </c>
    </row>
    <row r="18" spans="1:28" x14ac:dyDescent="0.2">
      <c r="A18" t="s">
        <v>19</v>
      </c>
      <c r="B18" s="1" t="s">
        <v>11</v>
      </c>
      <c r="C18">
        <f>VLOOKUP($B18,gdp_cont!$A$2:$I$21,2,FALSE)</f>
        <v>0.115</v>
      </c>
      <c r="D18">
        <f>VLOOKUP($B18,gdp_cont!$A$2:$I$21,3,FALSE)</f>
        <v>5.1999999999999998E-2</v>
      </c>
      <c r="E18">
        <f>VLOOKUP($B18,gdp_cont!$A$2:$I$21,4,FALSE)</f>
        <v>-0.105</v>
      </c>
      <c r="F18">
        <f>VLOOKUP($B18,gdp_cont!$A$2:$I$21,5,FALSE)</f>
        <v>0.105</v>
      </c>
      <c r="G18">
        <f>VLOOKUP($B18,gdp_cont!$A$2:$I$21,6,FALSE)</f>
        <v>9.2999999999999999E-2</v>
      </c>
      <c r="H18">
        <f>VLOOKUP($B18,gdp_cont!$A$2:$I$21,7,FALSE)</f>
        <v>-0.107</v>
      </c>
      <c r="I18">
        <f>VLOOKUP($B18,gdp_cont!$A$2:$I$21,8,FALSE)</f>
        <v>0.33200000000000002</v>
      </c>
      <c r="J18">
        <f>VLOOKUP($B18,gdp_cont!$A$2:$I$21,9,FALSE)</f>
        <v>-7.0000000000000007E-2</v>
      </c>
      <c r="L18" s="2">
        <f t="shared" si="2"/>
        <v>2.6136363636363636E-3</v>
      </c>
      <c r="M18" s="2">
        <f t="shared" si="3"/>
        <v>1.1818181818181817E-3</v>
      </c>
      <c r="N18" s="2">
        <f t="shared" si="4"/>
        <v>-2.3863636363636361E-3</v>
      </c>
      <c r="O18" s="2">
        <f t="shared" si="5"/>
        <v>2.3863636363636361E-3</v>
      </c>
      <c r="P18" s="2">
        <f t="shared" si="6"/>
        <v>2.1136363636363635E-3</v>
      </c>
      <c r="Q18" s="2">
        <f t="shared" si="7"/>
        <v>-2.4318181818181817E-3</v>
      </c>
      <c r="R18" s="2">
        <f t="shared" si="8"/>
        <v>7.5454545454545462E-3</v>
      </c>
      <c r="S18" s="2">
        <f t="shared" si="9"/>
        <v>-1.590909090909091E-3</v>
      </c>
      <c r="U18" s="2">
        <f t="shared" si="10"/>
        <v>2.6188741118600848E-3</v>
      </c>
      <c r="V18" s="2">
        <f t="shared" si="11"/>
        <v>1.1865644395764876E-3</v>
      </c>
      <c r="W18" s="2">
        <f t="shared" si="12"/>
        <v>-2.4129055979409861E-3</v>
      </c>
      <c r="X18" s="2">
        <f t="shared" si="13"/>
        <v>2.3792259584881725E-3</v>
      </c>
      <c r="Y18" s="2">
        <f t="shared" si="14"/>
        <v>2.0401895401895393E-3</v>
      </c>
      <c r="Z18" s="2">
        <f t="shared" si="15"/>
        <v>-2.3226534687852724E-3</v>
      </c>
      <c r="AA18" s="2">
        <f t="shared" si="16"/>
        <v>7.5379166288257211E-3</v>
      </c>
      <c r="AB18" s="2">
        <f t="shared" si="17"/>
        <v>-1.587733623661767E-3</v>
      </c>
    </row>
    <row r="19" spans="1:28" x14ac:dyDescent="0.2">
      <c r="A19" t="s">
        <v>20</v>
      </c>
      <c r="B19" s="1" t="s">
        <v>11</v>
      </c>
      <c r="C19">
        <f>VLOOKUP($B19,gdp_cont!$A$2:$I$21,2,FALSE)</f>
        <v>0.115</v>
      </c>
      <c r="D19">
        <f>VLOOKUP($B19,gdp_cont!$A$2:$I$21,3,FALSE)</f>
        <v>5.1999999999999998E-2</v>
      </c>
      <c r="E19">
        <f>VLOOKUP($B19,gdp_cont!$A$2:$I$21,4,FALSE)</f>
        <v>-0.105</v>
      </c>
      <c r="F19">
        <f>VLOOKUP($B19,gdp_cont!$A$2:$I$21,5,FALSE)</f>
        <v>0.105</v>
      </c>
      <c r="G19">
        <f>VLOOKUP($B19,gdp_cont!$A$2:$I$21,6,FALSE)</f>
        <v>9.2999999999999999E-2</v>
      </c>
      <c r="H19">
        <f>VLOOKUP($B19,gdp_cont!$A$2:$I$21,7,FALSE)</f>
        <v>-0.107</v>
      </c>
      <c r="I19">
        <f>VLOOKUP($B19,gdp_cont!$A$2:$I$21,8,FALSE)</f>
        <v>0.33200000000000002</v>
      </c>
      <c r="J19">
        <f>VLOOKUP($B19,gdp_cont!$A$2:$I$21,9,FALSE)</f>
        <v>-7.0000000000000007E-2</v>
      </c>
      <c r="L19" s="2">
        <f t="shared" si="2"/>
        <v>2.6136363636363636E-3</v>
      </c>
      <c r="M19" s="2">
        <f t="shared" si="3"/>
        <v>1.1818181818181817E-3</v>
      </c>
      <c r="N19" s="2">
        <f t="shared" si="4"/>
        <v>-2.3863636363636361E-3</v>
      </c>
      <c r="O19" s="2">
        <f t="shared" si="5"/>
        <v>2.3863636363636361E-3</v>
      </c>
      <c r="P19" s="2">
        <f t="shared" si="6"/>
        <v>2.1136363636363635E-3</v>
      </c>
      <c r="Q19" s="2">
        <f t="shared" si="7"/>
        <v>-2.4318181818181817E-3</v>
      </c>
      <c r="R19" s="2">
        <f t="shared" si="8"/>
        <v>7.5454545454545462E-3</v>
      </c>
      <c r="S19" s="2">
        <f t="shared" si="9"/>
        <v>-1.590909090909091E-3</v>
      </c>
      <c r="U19" s="2">
        <f t="shared" si="10"/>
        <v>2.6188741118600848E-3</v>
      </c>
      <c r="V19" s="2">
        <f t="shared" si="11"/>
        <v>1.1865644395764876E-3</v>
      </c>
      <c r="W19" s="2">
        <f t="shared" si="12"/>
        <v>-2.4129055979409861E-3</v>
      </c>
      <c r="X19" s="2">
        <f t="shared" si="13"/>
        <v>2.3792259584881725E-3</v>
      </c>
      <c r="Y19" s="2">
        <f t="shared" si="14"/>
        <v>2.0401895401895393E-3</v>
      </c>
      <c r="Z19" s="2">
        <f t="shared" si="15"/>
        <v>-2.3226534687852724E-3</v>
      </c>
      <c r="AA19" s="2">
        <f t="shared" si="16"/>
        <v>7.5379166288257211E-3</v>
      </c>
      <c r="AB19" s="2">
        <f t="shared" si="17"/>
        <v>-1.587733623661767E-3</v>
      </c>
    </row>
    <row r="20" spans="1:28" x14ac:dyDescent="0.2">
      <c r="A20" t="s">
        <v>21</v>
      </c>
      <c r="B20" s="1" t="s">
        <v>11</v>
      </c>
      <c r="C20">
        <f>VLOOKUP($B20,gdp_cont!$A$2:$I$21,2,FALSE)</f>
        <v>0.115</v>
      </c>
      <c r="D20">
        <f>VLOOKUP($B20,gdp_cont!$A$2:$I$21,3,FALSE)</f>
        <v>5.1999999999999998E-2</v>
      </c>
      <c r="E20">
        <f>VLOOKUP($B20,gdp_cont!$A$2:$I$21,4,FALSE)</f>
        <v>-0.105</v>
      </c>
      <c r="F20">
        <f>VLOOKUP($B20,gdp_cont!$A$2:$I$21,5,FALSE)</f>
        <v>0.105</v>
      </c>
      <c r="G20">
        <f>VLOOKUP($B20,gdp_cont!$A$2:$I$21,6,FALSE)</f>
        <v>9.2999999999999999E-2</v>
      </c>
      <c r="H20">
        <f>VLOOKUP($B20,gdp_cont!$A$2:$I$21,7,FALSE)</f>
        <v>-0.107</v>
      </c>
      <c r="I20">
        <f>VLOOKUP($B20,gdp_cont!$A$2:$I$21,8,FALSE)</f>
        <v>0.33200000000000002</v>
      </c>
      <c r="J20">
        <f>VLOOKUP($B20,gdp_cont!$A$2:$I$21,9,FALSE)</f>
        <v>-7.0000000000000007E-2</v>
      </c>
      <c r="L20" s="2">
        <f t="shared" si="2"/>
        <v>2.6136363636363636E-3</v>
      </c>
      <c r="M20" s="2">
        <f t="shared" si="3"/>
        <v>1.1818181818181817E-3</v>
      </c>
      <c r="N20" s="2">
        <f t="shared" si="4"/>
        <v>-2.3863636363636361E-3</v>
      </c>
      <c r="O20" s="2">
        <f t="shared" si="5"/>
        <v>2.3863636363636361E-3</v>
      </c>
      <c r="P20" s="2">
        <f t="shared" si="6"/>
        <v>2.1136363636363635E-3</v>
      </c>
      <c r="Q20" s="2">
        <f t="shared" si="7"/>
        <v>-2.4318181818181817E-3</v>
      </c>
      <c r="R20" s="2">
        <f t="shared" si="8"/>
        <v>7.5454545454545462E-3</v>
      </c>
      <c r="S20" s="2">
        <f t="shared" si="9"/>
        <v>-1.590909090909091E-3</v>
      </c>
      <c r="U20" s="2">
        <f t="shared" si="10"/>
        <v>2.6188741118600848E-3</v>
      </c>
      <c r="V20" s="2">
        <f t="shared" si="11"/>
        <v>1.1865644395764876E-3</v>
      </c>
      <c r="W20" s="2">
        <f t="shared" si="12"/>
        <v>-2.4129055979409861E-3</v>
      </c>
      <c r="X20" s="2">
        <f t="shared" si="13"/>
        <v>2.3792259584881725E-3</v>
      </c>
      <c r="Y20" s="2">
        <f t="shared" si="14"/>
        <v>2.0401895401895393E-3</v>
      </c>
      <c r="Z20" s="2">
        <f t="shared" si="15"/>
        <v>-2.3226534687852724E-3</v>
      </c>
      <c r="AA20" s="2">
        <f t="shared" si="16"/>
        <v>7.5379166288257211E-3</v>
      </c>
      <c r="AB20" s="2">
        <f t="shared" si="17"/>
        <v>-1.587733623661767E-3</v>
      </c>
    </row>
    <row r="21" spans="1:28" x14ac:dyDescent="0.2">
      <c r="A21" t="s">
        <v>22</v>
      </c>
      <c r="B21" s="1" t="s">
        <v>11</v>
      </c>
      <c r="C21">
        <f>VLOOKUP($B21,gdp_cont!$A$2:$I$21,2,FALSE)</f>
        <v>0.115</v>
      </c>
      <c r="D21">
        <f>VLOOKUP($B21,gdp_cont!$A$2:$I$21,3,FALSE)</f>
        <v>5.1999999999999998E-2</v>
      </c>
      <c r="E21">
        <f>VLOOKUP($B21,gdp_cont!$A$2:$I$21,4,FALSE)</f>
        <v>-0.105</v>
      </c>
      <c r="F21">
        <f>VLOOKUP($B21,gdp_cont!$A$2:$I$21,5,FALSE)</f>
        <v>0.105</v>
      </c>
      <c r="G21">
        <f>VLOOKUP($B21,gdp_cont!$A$2:$I$21,6,FALSE)</f>
        <v>9.2999999999999999E-2</v>
      </c>
      <c r="H21">
        <f>VLOOKUP($B21,gdp_cont!$A$2:$I$21,7,FALSE)</f>
        <v>-0.107</v>
      </c>
      <c r="I21">
        <f>VLOOKUP($B21,gdp_cont!$A$2:$I$21,8,FALSE)</f>
        <v>0.33200000000000002</v>
      </c>
      <c r="J21">
        <f>VLOOKUP($B21,gdp_cont!$A$2:$I$21,9,FALSE)</f>
        <v>-7.0000000000000007E-2</v>
      </c>
      <c r="L21" s="2">
        <f t="shared" si="2"/>
        <v>2.6136363636363636E-3</v>
      </c>
      <c r="M21" s="2">
        <f t="shared" si="3"/>
        <v>1.1818181818181817E-3</v>
      </c>
      <c r="N21" s="2">
        <f t="shared" si="4"/>
        <v>-2.3863636363636361E-3</v>
      </c>
      <c r="O21" s="2">
        <f t="shared" si="5"/>
        <v>2.3863636363636361E-3</v>
      </c>
      <c r="P21" s="2">
        <f t="shared" si="6"/>
        <v>2.1136363636363635E-3</v>
      </c>
      <c r="Q21" s="2">
        <f t="shared" si="7"/>
        <v>-2.4318181818181817E-3</v>
      </c>
      <c r="R21" s="2">
        <f t="shared" si="8"/>
        <v>7.5454545454545462E-3</v>
      </c>
      <c r="S21" s="2">
        <f t="shared" si="9"/>
        <v>-1.590909090909091E-3</v>
      </c>
      <c r="U21" s="2">
        <f t="shared" si="10"/>
        <v>2.6188741118600848E-3</v>
      </c>
      <c r="V21" s="2">
        <f t="shared" si="11"/>
        <v>1.1865644395764876E-3</v>
      </c>
      <c r="W21" s="2">
        <f t="shared" si="12"/>
        <v>-2.4129055979409861E-3</v>
      </c>
      <c r="X21" s="2">
        <f t="shared" si="13"/>
        <v>2.3792259584881725E-3</v>
      </c>
      <c r="Y21" s="2">
        <f t="shared" si="14"/>
        <v>2.0401895401895393E-3</v>
      </c>
      <c r="Z21" s="2">
        <f t="shared" si="15"/>
        <v>-2.3226534687852724E-3</v>
      </c>
      <c r="AA21" s="2">
        <f t="shared" si="16"/>
        <v>7.5379166288257211E-3</v>
      </c>
      <c r="AB21" s="2">
        <f t="shared" si="17"/>
        <v>-1.587733623661767E-3</v>
      </c>
    </row>
    <row r="22" spans="1:28" x14ac:dyDescent="0.2">
      <c r="A22" t="s">
        <v>23</v>
      </c>
      <c r="B22" s="1" t="s">
        <v>11</v>
      </c>
      <c r="C22">
        <f>VLOOKUP($B22,gdp_cont!$A$2:$I$21,2,FALSE)</f>
        <v>0.115</v>
      </c>
      <c r="D22">
        <f>VLOOKUP($B22,gdp_cont!$A$2:$I$21,3,FALSE)</f>
        <v>5.1999999999999998E-2</v>
      </c>
      <c r="E22">
        <f>VLOOKUP($B22,gdp_cont!$A$2:$I$21,4,FALSE)</f>
        <v>-0.105</v>
      </c>
      <c r="F22">
        <f>VLOOKUP($B22,gdp_cont!$A$2:$I$21,5,FALSE)</f>
        <v>0.105</v>
      </c>
      <c r="G22">
        <f>VLOOKUP($B22,gdp_cont!$A$2:$I$21,6,FALSE)</f>
        <v>9.2999999999999999E-2</v>
      </c>
      <c r="H22">
        <f>VLOOKUP($B22,gdp_cont!$A$2:$I$21,7,FALSE)</f>
        <v>-0.107</v>
      </c>
      <c r="I22">
        <f>VLOOKUP($B22,gdp_cont!$A$2:$I$21,8,FALSE)</f>
        <v>0.33200000000000002</v>
      </c>
      <c r="J22">
        <f>VLOOKUP($B22,gdp_cont!$A$2:$I$21,9,FALSE)</f>
        <v>-7.0000000000000007E-2</v>
      </c>
      <c r="L22" s="2">
        <f t="shared" si="2"/>
        <v>2.6136363636363636E-3</v>
      </c>
      <c r="M22" s="2">
        <f t="shared" si="3"/>
        <v>1.1818181818181817E-3</v>
      </c>
      <c r="N22" s="2">
        <f t="shared" si="4"/>
        <v>-2.3863636363636361E-3</v>
      </c>
      <c r="O22" s="2">
        <f t="shared" si="5"/>
        <v>2.3863636363636361E-3</v>
      </c>
      <c r="P22" s="2">
        <f t="shared" si="6"/>
        <v>2.1136363636363635E-3</v>
      </c>
      <c r="Q22" s="2">
        <f t="shared" si="7"/>
        <v>-2.4318181818181817E-3</v>
      </c>
      <c r="R22" s="2">
        <f t="shared" si="8"/>
        <v>7.5454545454545462E-3</v>
      </c>
      <c r="S22" s="2">
        <f t="shared" si="9"/>
        <v>-1.590909090909091E-3</v>
      </c>
      <c r="U22" s="2">
        <f t="shared" si="10"/>
        <v>2.6188741118600848E-3</v>
      </c>
      <c r="V22" s="2">
        <f t="shared" si="11"/>
        <v>1.1865644395764876E-3</v>
      </c>
      <c r="W22" s="2">
        <f t="shared" si="12"/>
        <v>-2.4129055979409861E-3</v>
      </c>
      <c r="X22" s="2">
        <f t="shared" si="13"/>
        <v>2.3792259584881725E-3</v>
      </c>
      <c r="Y22" s="2">
        <f t="shared" si="14"/>
        <v>2.0401895401895393E-3</v>
      </c>
      <c r="Z22" s="2">
        <f t="shared" si="15"/>
        <v>-2.3226534687852724E-3</v>
      </c>
      <c r="AA22" s="2">
        <f t="shared" si="16"/>
        <v>7.5379166288257211E-3</v>
      </c>
      <c r="AB22" s="2">
        <f t="shared" si="17"/>
        <v>-1.587733623661767E-3</v>
      </c>
    </row>
    <row r="23" spans="1:28" x14ac:dyDescent="0.2">
      <c r="A23" t="s">
        <v>24</v>
      </c>
      <c r="B23" s="1" t="s">
        <v>11</v>
      </c>
      <c r="C23">
        <f>VLOOKUP($B23,gdp_cont!$A$2:$I$21,2,FALSE)</f>
        <v>0.115</v>
      </c>
      <c r="D23">
        <f>VLOOKUP($B23,gdp_cont!$A$2:$I$21,3,FALSE)</f>
        <v>5.1999999999999998E-2</v>
      </c>
      <c r="E23">
        <f>VLOOKUP($B23,gdp_cont!$A$2:$I$21,4,FALSE)</f>
        <v>-0.105</v>
      </c>
      <c r="F23">
        <f>VLOOKUP($B23,gdp_cont!$A$2:$I$21,5,FALSE)</f>
        <v>0.105</v>
      </c>
      <c r="G23">
        <f>VLOOKUP($B23,gdp_cont!$A$2:$I$21,6,FALSE)</f>
        <v>9.2999999999999999E-2</v>
      </c>
      <c r="H23">
        <f>VLOOKUP($B23,gdp_cont!$A$2:$I$21,7,FALSE)</f>
        <v>-0.107</v>
      </c>
      <c r="I23">
        <f>VLOOKUP($B23,gdp_cont!$A$2:$I$21,8,FALSE)</f>
        <v>0.33200000000000002</v>
      </c>
      <c r="J23">
        <f>VLOOKUP($B23,gdp_cont!$A$2:$I$21,9,FALSE)</f>
        <v>-7.0000000000000007E-2</v>
      </c>
      <c r="L23" s="2">
        <f t="shared" si="2"/>
        <v>2.6136363636363636E-3</v>
      </c>
      <c r="M23" s="2">
        <f t="shared" si="3"/>
        <v>1.1818181818181817E-3</v>
      </c>
      <c r="N23" s="2">
        <f t="shared" si="4"/>
        <v>-2.3863636363636361E-3</v>
      </c>
      <c r="O23" s="2">
        <f t="shared" si="5"/>
        <v>2.3863636363636361E-3</v>
      </c>
      <c r="P23" s="2">
        <f t="shared" si="6"/>
        <v>2.1136363636363635E-3</v>
      </c>
      <c r="Q23" s="2">
        <f t="shared" si="7"/>
        <v>-2.4318181818181817E-3</v>
      </c>
      <c r="R23" s="2">
        <f t="shared" si="8"/>
        <v>7.5454545454545462E-3</v>
      </c>
      <c r="S23" s="2">
        <f t="shared" si="9"/>
        <v>-1.590909090909091E-3</v>
      </c>
      <c r="U23" s="2">
        <f t="shared" si="10"/>
        <v>2.6188741118600848E-3</v>
      </c>
      <c r="V23" s="2">
        <f t="shared" si="11"/>
        <v>1.1865644395764876E-3</v>
      </c>
      <c r="W23" s="2">
        <f t="shared" si="12"/>
        <v>-2.4129055979409861E-3</v>
      </c>
      <c r="X23" s="2">
        <f t="shared" si="13"/>
        <v>2.3792259584881725E-3</v>
      </c>
      <c r="Y23" s="2">
        <f t="shared" si="14"/>
        <v>2.0401895401895393E-3</v>
      </c>
      <c r="Z23" s="2">
        <f t="shared" si="15"/>
        <v>-2.3226534687852724E-3</v>
      </c>
      <c r="AA23" s="2">
        <f t="shared" si="16"/>
        <v>7.5379166288257211E-3</v>
      </c>
      <c r="AB23" s="2">
        <f t="shared" si="17"/>
        <v>-1.587733623661767E-3</v>
      </c>
    </row>
    <row r="24" spans="1:28" x14ac:dyDescent="0.2">
      <c r="A24" t="s">
        <v>25</v>
      </c>
      <c r="B24" s="1" t="s">
        <v>11</v>
      </c>
      <c r="C24">
        <f>VLOOKUP($B24,gdp_cont!$A$2:$I$21,2,FALSE)</f>
        <v>0.115</v>
      </c>
      <c r="D24">
        <f>VLOOKUP($B24,gdp_cont!$A$2:$I$21,3,FALSE)</f>
        <v>5.1999999999999998E-2</v>
      </c>
      <c r="E24">
        <f>VLOOKUP($B24,gdp_cont!$A$2:$I$21,4,FALSE)</f>
        <v>-0.105</v>
      </c>
      <c r="F24">
        <f>VLOOKUP($B24,gdp_cont!$A$2:$I$21,5,FALSE)</f>
        <v>0.105</v>
      </c>
      <c r="G24">
        <f>VLOOKUP($B24,gdp_cont!$A$2:$I$21,6,FALSE)</f>
        <v>9.2999999999999999E-2</v>
      </c>
      <c r="H24">
        <f>VLOOKUP($B24,gdp_cont!$A$2:$I$21,7,FALSE)</f>
        <v>-0.107</v>
      </c>
      <c r="I24">
        <f>VLOOKUP($B24,gdp_cont!$A$2:$I$21,8,FALSE)</f>
        <v>0.33200000000000002</v>
      </c>
      <c r="J24">
        <f>VLOOKUP($B24,gdp_cont!$A$2:$I$21,9,FALSE)</f>
        <v>-7.0000000000000007E-2</v>
      </c>
      <c r="L24" s="2">
        <f t="shared" si="2"/>
        <v>2.6136363636363636E-3</v>
      </c>
      <c r="M24" s="2">
        <f t="shared" si="3"/>
        <v>1.1818181818181817E-3</v>
      </c>
      <c r="N24" s="2">
        <f t="shared" si="4"/>
        <v>-2.3863636363636361E-3</v>
      </c>
      <c r="O24" s="2">
        <f t="shared" si="5"/>
        <v>2.3863636363636361E-3</v>
      </c>
      <c r="P24" s="2">
        <f t="shared" si="6"/>
        <v>2.1136363636363635E-3</v>
      </c>
      <c r="Q24" s="2">
        <f t="shared" si="7"/>
        <v>-2.4318181818181817E-3</v>
      </c>
      <c r="R24" s="2">
        <f t="shared" si="8"/>
        <v>7.5454545454545462E-3</v>
      </c>
      <c r="S24" s="2">
        <f t="shared" si="9"/>
        <v>-1.590909090909091E-3</v>
      </c>
      <c r="U24" s="2">
        <f t="shared" si="10"/>
        <v>2.6188741118600848E-3</v>
      </c>
      <c r="V24" s="2">
        <f t="shared" si="11"/>
        <v>1.1865644395764876E-3</v>
      </c>
      <c r="W24" s="2">
        <f t="shared" si="12"/>
        <v>-2.4129055979409861E-3</v>
      </c>
      <c r="X24" s="2">
        <f t="shared" si="13"/>
        <v>2.3792259584881725E-3</v>
      </c>
      <c r="Y24" s="2">
        <f t="shared" si="14"/>
        <v>2.0401895401895393E-3</v>
      </c>
      <c r="Z24" s="2">
        <f t="shared" si="15"/>
        <v>-2.3226534687852724E-3</v>
      </c>
      <c r="AA24" s="2">
        <f t="shared" si="16"/>
        <v>7.5379166288257211E-3</v>
      </c>
      <c r="AB24" s="2">
        <f t="shared" si="17"/>
        <v>-1.587733623661767E-3</v>
      </c>
    </row>
    <row r="25" spans="1:28" x14ac:dyDescent="0.2">
      <c r="A25" t="s">
        <v>26</v>
      </c>
      <c r="B25" s="1" t="s">
        <v>11</v>
      </c>
      <c r="C25">
        <f>VLOOKUP($B25,gdp_cont!$A$2:$I$21,2,FALSE)</f>
        <v>0.115</v>
      </c>
      <c r="D25">
        <f>VLOOKUP($B25,gdp_cont!$A$2:$I$21,3,FALSE)</f>
        <v>5.1999999999999998E-2</v>
      </c>
      <c r="E25">
        <f>VLOOKUP($B25,gdp_cont!$A$2:$I$21,4,FALSE)</f>
        <v>-0.105</v>
      </c>
      <c r="F25">
        <f>VLOOKUP($B25,gdp_cont!$A$2:$I$21,5,FALSE)</f>
        <v>0.105</v>
      </c>
      <c r="G25">
        <f>VLOOKUP($B25,gdp_cont!$A$2:$I$21,6,FALSE)</f>
        <v>9.2999999999999999E-2</v>
      </c>
      <c r="H25">
        <f>VLOOKUP($B25,gdp_cont!$A$2:$I$21,7,FALSE)</f>
        <v>-0.107</v>
      </c>
      <c r="I25">
        <f>VLOOKUP($B25,gdp_cont!$A$2:$I$21,8,FALSE)</f>
        <v>0.33200000000000002</v>
      </c>
      <c r="J25">
        <f>VLOOKUP($B25,gdp_cont!$A$2:$I$21,9,FALSE)</f>
        <v>-7.0000000000000007E-2</v>
      </c>
      <c r="L25" s="2">
        <f t="shared" ref="L25:L49" si="18">C25/COUNTIFS($B$2:$B$113,$B25)</f>
        <v>2.6136363636363636E-3</v>
      </c>
      <c r="M25" s="2">
        <f t="shared" ref="M25:M72" si="19">D25/COUNTIFS($B$2:$B$113,$B25)</f>
        <v>1.1818181818181817E-3</v>
      </c>
      <c r="N25" s="2">
        <f t="shared" ref="N25:N72" si="20">E25/COUNTIFS($B$2:$B$113,$B25)</f>
        <v>-2.3863636363636361E-3</v>
      </c>
      <c r="O25" s="2">
        <f t="shared" ref="O25:O72" si="21">F25/COUNTIFS($B$2:$B$113,$B25)</f>
        <v>2.3863636363636361E-3</v>
      </c>
      <c r="P25" s="2">
        <f t="shared" ref="P25:P72" si="22">G25/COUNTIFS($B$2:$B$113,$B25)</f>
        <v>2.1136363636363635E-3</v>
      </c>
      <c r="Q25" s="2">
        <f t="shared" ref="Q25:Q72" si="23">H25/COUNTIFS($B$2:$B$113,$B25)</f>
        <v>-2.4318181818181817E-3</v>
      </c>
      <c r="R25" s="2">
        <f t="shared" ref="R25:R72" si="24">I25/COUNTIFS($B$2:$B$113,$B25)</f>
        <v>7.5454545454545462E-3</v>
      </c>
      <c r="S25" s="2">
        <f t="shared" ref="S25:S72" si="25">J25/COUNTIFS($B$2:$B$113,$B25)</f>
        <v>-1.590909090909091E-3</v>
      </c>
      <c r="U25" s="2">
        <f t="shared" si="10"/>
        <v>2.6188741118600848E-3</v>
      </c>
      <c r="V25" s="2">
        <f t="shared" si="11"/>
        <v>1.1865644395764876E-3</v>
      </c>
      <c r="W25" s="2">
        <f t="shared" si="12"/>
        <v>-2.4129055979409861E-3</v>
      </c>
      <c r="X25" s="2">
        <f t="shared" si="13"/>
        <v>2.3792259584881725E-3</v>
      </c>
      <c r="Y25" s="2">
        <f t="shared" si="14"/>
        <v>2.0401895401895393E-3</v>
      </c>
      <c r="Z25" s="2">
        <f t="shared" si="15"/>
        <v>-2.3226534687852724E-3</v>
      </c>
      <c r="AA25" s="2">
        <f t="shared" si="16"/>
        <v>7.5379166288257211E-3</v>
      </c>
      <c r="AB25" s="2">
        <f t="shared" si="17"/>
        <v>-1.587733623661767E-3</v>
      </c>
    </row>
    <row r="26" spans="1:28" x14ac:dyDescent="0.2">
      <c r="A26" t="s">
        <v>27</v>
      </c>
      <c r="B26" s="1" t="s">
        <v>11</v>
      </c>
      <c r="C26">
        <f>VLOOKUP($B26,gdp_cont!$A$2:$I$21,2,FALSE)</f>
        <v>0.115</v>
      </c>
      <c r="D26">
        <f>VLOOKUP($B26,gdp_cont!$A$2:$I$21,3,FALSE)</f>
        <v>5.1999999999999998E-2</v>
      </c>
      <c r="E26">
        <f>VLOOKUP($B26,gdp_cont!$A$2:$I$21,4,FALSE)</f>
        <v>-0.105</v>
      </c>
      <c r="F26">
        <f>VLOOKUP($B26,gdp_cont!$A$2:$I$21,5,FALSE)</f>
        <v>0.105</v>
      </c>
      <c r="G26">
        <f>VLOOKUP($B26,gdp_cont!$A$2:$I$21,6,FALSE)</f>
        <v>9.2999999999999999E-2</v>
      </c>
      <c r="H26">
        <f>VLOOKUP($B26,gdp_cont!$A$2:$I$21,7,FALSE)</f>
        <v>-0.107</v>
      </c>
      <c r="I26">
        <f>VLOOKUP($B26,gdp_cont!$A$2:$I$21,8,FALSE)</f>
        <v>0.33200000000000002</v>
      </c>
      <c r="J26">
        <f>VLOOKUP($B26,gdp_cont!$A$2:$I$21,9,FALSE)</f>
        <v>-7.0000000000000007E-2</v>
      </c>
      <c r="L26" s="2">
        <f t="shared" si="18"/>
        <v>2.6136363636363636E-3</v>
      </c>
      <c r="M26" s="2">
        <f t="shared" si="19"/>
        <v>1.1818181818181817E-3</v>
      </c>
      <c r="N26" s="2">
        <f t="shared" si="20"/>
        <v>-2.3863636363636361E-3</v>
      </c>
      <c r="O26" s="2">
        <f t="shared" si="21"/>
        <v>2.3863636363636361E-3</v>
      </c>
      <c r="P26" s="2">
        <f t="shared" si="22"/>
        <v>2.1136363636363635E-3</v>
      </c>
      <c r="Q26" s="2">
        <f t="shared" si="23"/>
        <v>-2.4318181818181817E-3</v>
      </c>
      <c r="R26" s="2">
        <f t="shared" si="24"/>
        <v>7.5454545454545462E-3</v>
      </c>
      <c r="S26" s="2">
        <f t="shared" si="25"/>
        <v>-1.590909090909091E-3</v>
      </c>
      <c r="U26" s="2">
        <f t="shared" si="10"/>
        <v>2.6188741118600848E-3</v>
      </c>
      <c r="V26" s="2">
        <f t="shared" si="11"/>
        <v>1.1865644395764876E-3</v>
      </c>
      <c r="W26" s="2">
        <f t="shared" si="12"/>
        <v>-2.4129055979409861E-3</v>
      </c>
      <c r="X26" s="2">
        <f t="shared" si="13"/>
        <v>2.3792259584881725E-3</v>
      </c>
      <c r="Y26" s="2">
        <f t="shared" si="14"/>
        <v>2.0401895401895393E-3</v>
      </c>
      <c r="Z26" s="2">
        <f t="shared" si="15"/>
        <v>-2.3226534687852724E-3</v>
      </c>
      <c r="AA26" s="2">
        <f t="shared" si="16"/>
        <v>7.5379166288257211E-3</v>
      </c>
      <c r="AB26" s="2">
        <f t="shared" si="17"/>
        <v>-1.587733623661767E-3</v>
      </c>
    </row>
    <row r="27" spans="1:28" x14ac:dyDescent="0.2">
      <c r="A27" t="s">
        <v>28</v>
      </c>
      <c r="B27" s="1" t="s">
        <v>11</v>
      </c>
      <c r="C27">
        <f>VLOOKUP($B27,gdp_cont!$A$2:$I$21,2,FALSE)</f>
        <v>0.115</v>
      </c>
      <c r="D27">
        <f>VLOOKUP($B27,gdp_cont!$A$2:$I$21,3,FALSE)</f>
        <v>5.1999999999999998E-2</v>
      </c>
      <c r="E27">
        <f>VLOOKUP($B27,gdp_cont!$A$2:$I$21,4,FALSE)</f>
        <v>-0.105</v>
      </c>
      <c r="F27">
        <f>VLOOKUP($B27,gdp_cont!$A$2:$I$21,5,FALSE)</f>
        <v>0.105</v>
      </c>
      <c r="G27">
        <f>VLOOKUP($B27,gdp_cont!$A$2:$I$21,6,FALSE)</f>
        <v>9.2999999999999999E-2</v>
      </c>
      <c r="H27">
        <f>VLOOKUP($B27,gdp_cont!$A$2:$I$21,7,FALSE)</f>
        <v>-0.107</v>
      </c>
      <c r="I27">
        <f>VLOOKUP($B27,gdp_cont!$A$2:$I$21,8,FALSE)</f>
        <v>0.33200000000000002</v>
      </c>
      <c r="J27">
        <f>VLOOKUP($B27,gdp_cont!$A$2:$I$21,9,FALSE)</f>
        <v>-7.0000000000000007E-2</v>
      </c>
      <c r="L27" s="2">
        <f t="shared" si="18"/>
        <v>2.6136363636363636E-3</v>
      </c>
      <c r="M27" s="2">
        <f t="shared" si="19"/>
        <v>1.1818181818181817E-3</v>
      </c>
      <c r="N27" s="2">
        <f t="shared" si="20"/>
        <v>-2.3863636363636361E-3</v>
      </c>
      <c r="O27" s="2">
        <f t="shared" si="21"/>
        <v>2.3863636363636361E-3</v>
      </c>
      <c r="P27" s="2">
        <f t="shared" si="22"/>
        <v>2.1136363636363635E-3</v>
      </c>
      <c r="Q27" s="2">
        <f t="shared" si="23"/>
        <v>-2.4318181818181817E-3</v>
      </c>
      <c r="R27" s="2">
        <f t="shared" si="24"/>
        <v>7.5454545454545462E-3</v>
      </c>
      <c r="S27" s="2">
        <f t="shared" si="25"/>
        <v>-1.590909090909091E-3</v>
      </c>
      <c r="U27" s="2">
        <f t="shared" si="10"/>
        <v>2.6188741118600848E-3</v>
      </c>
      <c r="V27" s="2">
        <f t="shared" si="11"/>
        <v>1.1865644395764876E-3</v>
      </c>
      <c r="W27" s="2">
        <f t="shared" si="12"/>
        <v>-2.4129055979409861E-3</v>
      </c>
      <c r="X27" s="2">
        <f t="shared" si="13"/>
        <v>2.3792259584881725E-3</v>
      </c>
      <c r="Y27" s="2">
        <f t="shared" si="14"/>
        <v>2.0401895401895393E-3</v>
      </c>
      <c r="Z27" s="2">
        <f t="shared" si="15"/>
        <v>-2.3226534687852724E-3</v>
      </c>
      <c r="AA27" s="2">
        <f t="shared" si="16"/>
        <v>7.5379166288257211E-3</v>
      </c>
      <c r="AB27" s="2">
        <f t="shared" si="17"/>
        <v>-1.587733623661767E-3</v>
      </c>
    </row>
    <row r="28" spans="1:28" x14ac:dyDescent="0.2">
      <c r="A28" t="s">
        <v>29</v>
      </c>
      <c r="B28" s="1" t="s">
        <v>11</v>
      </c>
      <c r="C28">
        <f>VLOOKUP($B28,gdp_cont!$A$2:$I$21,2,FALSE)</f>
        <v>0.115</v>
      </c>
      <c r="D28">
        <f>VLOOKUP($B28,gdp_cont!$A$2:$I$21,3,FALSE)</f>
        <v>5.1999999999999998E-2</v>
      </c>
      <c r="E28">
        <f>VLOOKUP($B28,gdp_cont!$A$2:$I$21,4,FALSE)</f>
        <v>-0.105</v>
      </c>
      <c r="F28">
        <f>VLOOKUP($B28,gdp_cont!$A$2:$I$21,5,FALSE)</f>
        <v>0.105</v>
      </c>
      <c r="G28">
        <f>VLOOKUP($B28,gdp_cont!$A$2:$I$21,6,FALSE)</f>
        <v>9.2999999999999999E-2</v>
      </c>
      <c r="H28">
        <f>VLOOKUP($B28,gdp_cont!$A$2:$I$21,7,FALSE)</f>
        <v>-0.107</v>
      </c>
      <c r="I28">
        <f>VLOOKUP($B28,gdp_cont!$A$2:$I$21,8,FALSE)</f>
        <v>0.33200000000000002</v>
      </c>
      <c r="J28">
        <f>VLOOKUP($B28,gdp_cont!$A$2:$I$21,9,FALSE)</f>
        <v>-7.0000000000000007E-2</v>
      </c>
      <c r="L28" s="2">
        <f t="shared" si="18"/>
        <v>2.6136363636363636E-3</v>
      </c>
      <c r="M28" s="2">
        <f t="shared" si="19"/>
        <v>1.1818181818181817E-3</v>
      </c>
      <c r="N28" s="2">
        <f t="shared" si="20"/>
        <v>-2.3863636363636361E-3</v>
      </c>
      <c r="O28" s="2">
        <f t="shared" si="21"/>
        <v>2.3863636363636361E-3</v>
      </c>
      <c r="P28" s="2">
        <f t="shared" si="22"/>
        <v>2.1136363636363635E-3</v>
      </c>
      <c r="Q28" s="2">
        <f t="shared" si="23"/>
        <v>-2.4318181818181817E-3</v>
      </c>
      <c r="R28" s="2">
        <f t="shared" si="24"/>
        <v>7.5454545454545462E-3</v>
      </c>
      <c r="S28" s="2">
        <f t="shared" si="25"/>
        <v>-1.590909090909091E-3</v>
      </c>
      <c r="U28" s="2">
        <f t="shared" si="10"/>
        <v>2.6188741118600848E-3</v>
      </c>
      <c r="V28" s="2">
        <f t="shared" si="11"/>
        <v>1.1865644395764876E-3</v>
      </c>
      <c r="W28" s="2">
        <f t="shared" si="12"/>
        <v>-2.4129055979409861E-3</v>
      </c>
      <c r="X28" s="2">
        <f t="shared" si="13"/>
        <v>2.3792259584881725E-3</v>
      </c>
      <c r="Y28" s="2">
        <f t="shared" si="14"/>
        <v>2.0401895401895393E-3</v>
      </c>
      <c r="Z28" s="2">
        <f t="shared" si="15"/>
        <v>-2.3226534687852724E-3</v>
      </c>
      <c r="AA28" s="2">
        <f t="shared" si="16"/>
        <v>7.5379166288257211E-3</v>
      </c>
      <c r="AB28" s="2">
        <f t="shared" si="17"/>
        <v>-1.587733623661767E-3</v>
      </c>
    </row>
    <row r="29" spans="1:28" x14ac:dyDescent="0.2">
      <c r="A29" t="s">
        <v>30</v>
      </c>
      <c r="B29" s="1" t="s">
        <v>11</v>
      </c>
      <c r="C29">
        <f>VLOOKUP($B29,gdp_cont!$A$2:$I$21,2,FALSE)</f>
        <v>0.115</v>
      </c>
      <c r="D29">
        <f>VLOOKUP($B29,gdp_cont!$A$2:$I$21,3,FALSE)</f>
        <v>5.1999999999999998E-2</v>
      </c>
      <c r="E29">
        <f>VLOOKUP($B29,gdp_cont!$A$2:$I$21,4,FALSE)</f>
        <v>-0.105</v>
      </c>
      <c r="F29">
        <f>VLOOKUP($B29,gdp_cont!$A$2:$I$21,5,FALSE)</f>
        <v>0.105</v>
      </c>
      <c r="G29">
        <f>VLOOKUP($B29,gdp_cont!$A$2:$I$21,6,FALSE)</f>
        <v>9.2999999999999999E-2</v>
      </c>
      <c r="H29">
        <f>VLOOKUP($B29,gdp_cont!$A$2:$I$21,7,FALSE)</f>
        <v>-0.107</v>
      </c>
      <c r="I29">
        <f>VLOOKUP($B29,gdp_cont!$A$2:$I$21,8,FALSE)</f>
        <v>0.33200000000000002</v>
      </c>
      <c r="J29">
        <f>VLOOKUP($B29,gdp_cont!$A$2:$I$21,9,FALSE)</f>
        <v>-7.0000000000000007E-2</v>
      </c>
      <c r="L29" s="2">
        <f t="shared" si="18"/>
        <v>2.6136363636363636E-3</v>
      </c>
      <c r="M29" s="2">
        <f t="shared" si="19"/>
        <v>1.1818181818181817E-3</v>
      </c>
      <c r="N29" s="2">
        <f t="shared" si="20"/>
        <v>-2.3863636363636361E-3</v>
      </c>
      <c r="O29" s="2">
        <f t="shared" si="21"/>
        <v>2.3863636363636361E-3</v>
      </c>
      <c r="P29" s="2">
        <f t="shared" si="22"/>
        <v>2.1136363636363635E-3</v>
      </c>
      <c r="Q29" s="2">
        <f t="shared" si="23"/>
        <v>-2.4318181818181817E-3</v>
      </c>
      <c r="R29" s="2">
        <f t="shared" si="24"/>
        <v>7.5454545454545462E-3</v>
      </c>
      <c r="S29" s="2">
        <f t="shared" si="25"/>
        <v>-1.590909090909091E-3</v>
      </c>
      <c r="U29" s="2">
        <f t="shared" si="10"/>
        <v>2.6188741118600848E-3</v>
      </c>
      <c r="V29" s="2">
        <f t="shared" si="11"/>
        <v>1.1865644395764876E-3</v>
      </c>
      <c r="W29" s="2">
        <f t="shared" si="12"/>
        <v>-2.4129055979409861E-3</v>
      </c>
      <c r="X29" s="2">
        <f t="shared" si="13"/>
        <v>2.3792259584881725E-3</v>
      </c>
      <c r="Y29" s="2">
        <f t="shared" si="14"/>
        <v>2.0401895401895393E-3</v>
      </c>
      <c r="Z29" s="2">
        <f t="shared" si="15"/>
        <v>-2.3226534687852724E-3</v>
      </c>
      <c r="AA29" s="2">
        <f t="shared" si="16"/>
        <v>7.5379166288257211E-3</v>
      </c>
      <c r="AB29" s="2">
        <f t="shared" si="17"/>
        <v>-1.587733623661767E-3</v>
      </c>
    </row>
    <row r="30" spans="1:28" x14ac:dyDescent="0.2">
      <c r="A30" t="s">
        <v>31</v>
      </c>
      <c r="B30" s="1" t="s">
        <v>11</v>
      </c>
      <c r="C30">
        <f>VLOOKUP($B30,gdp_cont!$A$2:$I$21,2,FALSE)</f>
        <v>0.115</v>
      </c>
      <c r="D30">
        <f>VLOOKUP($B30,gdp_cont!$A$2:$I$21,3,FALSE)</f>
        <v>5.1999999999999998E-2</v>
      </c>
      <c r="E30">
        <f>VLOOKUP($B30,gdp_cont!$A$2:$I$21,4,FALSE)</f>
        <v>-0.105</v>
      </c>
      <c r="F30">
        <f>VLOOKUP($B30,gdp_cont!$A$2:$I$21,5,FALSE)</f>
        <v>0.105</v>
      </c>
      <c r="G30">
        <f>VLOOKUP($B30,gdp_cont!$A$2:$I$21,6,FALSE)</f>
        <v>9.2999999999999999E-2</v>
      </c>
      <c r="H30">
        <f>VLOOKUP($B30,gdp_cont!$A$2:$I$21,7,FALSE)</f>
        <v>-0.107</v>
      </c>
      <c r="I30">
        <f>VLOOKUP($B30,gdp_cont!$A$2:$I$21,8,FALSE)</f>
        <v>0.33200000000000002</v>
      </c>
      <c r="J30">
        <f>VLOOKUP($B30,gdp_cont!$A$2:$I$21,9,FALSE)</f>
        <v>-7.0000000000000007E-2</v>
      </c>
      <c r="L30" s="2">
        <f t="shared" si="18"/>
        <v>2.6136363636363636E-3</v>
      </c>
      <c r="M30" s="2">
        <f t="shared" si="19"/>
        <v>1.1818181818181817E-3</v>
      </c>
      <c r="N30" s="2">
        <f t="shared" si="20"/>
        <v>-2.3863636363636361E-3</v>
      </c>
      <c r="O30" s="2">
        <f t="shared" si="21"/>
        <v>2.3863636363636361E-3</v>
      </c>
      <c r="P30" s="2">
        <f t="shared" si="22"/>
        <v>2.1136363636363635E-3</v>
      </c>
      <c r="Q30" s="2">
        <f t="shared" si="23"/>
        <v>-2.4318181818181817E-3</v>
      </c>
      <c r="R30" s="2">
        <f t="shared" si="24"/>
        <v>7.5454545454545462E-3</v>
      </c>
      <c r="S30" s="2">
        <f t="shared" si="25"/>
        <v>-1.590909090909091E-3</v>
      </c>
      <c r="U30" s="2">
        <f t="shared" si="10"/>
        <v>2.6188741118600848E-3</v>
      </c>
      <c r="V30" s="2">
        <f t="shared" si="11"/>
        <v>1.1865644395764876E-3</v>
      </c>
      <c r="W30" s="2">
        <f t="shared" si="12"/>
        <v>-2.4129055979409861E-3</v>
      </c>
      <c r="X30" s="2">
        <f t="shared" si="13"/>
        <v>2.3792259584881725E-3</v>
      </c>
      <c r="Y30" s="2">
        <f t="shared" si="14"/>
        <v>2.0401895401895393E-3</v>
      </c>
      <c r="Z30" s="2">
        <f t="shared" si="15"/>
        <v>-2.3226534687852724E-3</v>
      </c>
      <c r="AA30" s="2">
        <f t="shared" si="16"/>
        <v>7.5379166288257211E-3</v>
      </c>
      <c r="AB30" s="2">
        <f t="shared" si="17"/>
        <v>-1.587733623661767E-3</v>
      </c>
    </row>
    <row r="31" spans="1:28" x14ac:dyDescent="0.2">
      <c r="A31" t="s">
        <v>32</v>
      </c>
      <c r="B31" s="1" t="s">
        <v>11</v>
      </c>
      <c r="C31">
        <f>VLOOKUP($B31,gdp_cont!$A$2:$I$21,2,FALSE)</f>
        <v>0.115</v>
      </c>
      <c r="D31">
        <f>VLOOKUP($B31,gdp_cont!$A$2:$I$21,3,FALSE)</f>
        <v>5.1999999999999998E-2</v>
      </c>
      <c r="E31">
        <f>VLOOKUP($B31,gdp_cont!$A$2:$I$21,4,FALSE)</f>
        <v>-0.105</v>
      </c>
      <c r="F31">
        <f>VLOOKUP($B31,gdp_cont!$A$2:$I$21,5,FALSE)</f>
        <v>0.105</v>
      </c>
      <c r="G31">
        <f>VLOOKUP($B31,gdp_cont!$A$2:$I$21,6,FALSE)</f>
        <v>9.2999999999999999E-2</v>
      </c>
      <c r="H31">
        <f>VLOOKUP($B31,gdp_cont!$A$2:$I$21,7,FALSE)</f>
        <v>-0.107</v>
      </c>
      <c r="I31">
        <f>VLOOKUP($B31,gdp_cont!$A$2:$I$21,8,FALSE)</f>
        <v>0.33200000000000002</v>
      </c>
      <c r="J31">
        <f>VLOOKUP($B31,gdp_cont!$A$2:$I$21,9,FALSE)</f>
        <v>-7.0000000000000007E-2</v>
      </c>
      <c r="L31" s="2">
        <f t="shared" si="18"/>
        <v>2.6136363636363636E-3</v>
      </c>
      <c r="M31" s="2">
        <f t="shared" si="19"/>
        <v>1.1818181818181817E-3</v>
      </c>
      <c r="N31" s="2">
        <f t="shared" si="20"/>
        <v>-2.3863636363636361E-3</v>
      </c>
      <c r="O31" s="2">
        <f t="shared" si="21"/>
        <v>2.3863636363636361E-3</v>
      </c>
      <c r="P31" s="2">
        <f t="shared" si="22"/>
        <v>2.1136363636363635E-3</v>
      </c>
      <c r="Q31" s="2">
        <f t="shared" si="23"/>
        <v>-2.4318181818181817E-3</v>
      </c>
      <c r="R31" s="2">
        <f t="shared" si="24"/>
        <v>7.5454545454545462E-3</v>
      </c>
      <c r="S31" s="2">
        <f t="shared" si="25"/>
        <v>-1.590909090909091E-3</v>
      </c>
      <c r="U31" s="2">
        <f t="shared" si="10"/>
        <v>2.6188741118600848E-3</v>
      </c>
      <c r="V31" s="2">
        <f t="shared" si="11"/>
        <v>1.1865644395764876E-3</v>
      </c>
      <c r="W31" s="2">
        <f t="shared" si="12"/>
        <v>-2.4129055979409861E-3</v>
      </c>
      <c r="X31" s="2">
        <f t="shared" si="13"/>
        <v>2.3792259584881725E-3</v>
      </c>
      <c r="Y31" s="2">
        <f t="shared" si="14"/>
        <v>2.0401895401895393E-3</v>
      </c>
      <c r="Z31" s="2">
        <f t="shared" si="15"/>
        <v>-2.3226534687852724E-3</v>
      </c>
      <c r="AA31" s="2">
        <f t="shared" si="16"/>
        <v>7.5379166288257211E-3</v>
      </c>
      <c r="AB31" s="2">
        <f t="shared" si="17"/>
        <v>-1.587733623661767E-3</v>
      </c>
    </row>
    <row r="32" spans="1:28" x14ac:dyDescent="0.2">
      <c r="A32" t="s">
        <v>33</v>
      </c>
      <c r="B32" s="1" t="s">
        <v>11</v>
      </c>
      <c r="C32">
        <f>VLOOKUP($B32,gdp_cont!$A$2:$I$21,2,FALSE)</f>
        <v>0.115</v>
      </c>
      <c r="D32">
        <f>VLOOKUP($B32,gdp_cont!$A$2:$I$21,3,FALSE)</f>
        <v>5.1999999999999998E-2</v>
      </c>
      <c r="E32">
        <f>VLOOKUP($B32,gdp_cont!$A$2:$I$21,4,FALSE)</f>
        <v>-0.105</v>
      </c>
      <c r="F32">
        <f>VLOOKUP($B32,gdp_cont!$A$2:$I$21,5,FALSE)</f>
        <v>0.105</v>
      </c>
      <c r="G32">
        <f>VLOOKUP($B32,gdp_cont!$A$2:$I$21,6,FALSE)</f>
        <v>9.2999999999999999E-2</v>
      </c>
      <c r="H32">
        <f>VLOOKUP($B32,gdp_cont!$A$2:$I$21,7,FALSE)</f>
        <v>-0.107</v>
      </c>
      <c r="I32">
        <f>VLOOKUP($B32,gdp_cont!$A$2:$I$21,8,FALSE)</f>
        <v>0.33200000000000002</v>
      </c>
      <c r="J32">
        <f>VLOOKUP($B32,gdp_cont!$A$2:$I$21,9,FALSE)</f>
        <v>-7.0000000000000007E-2</v>
      </c>
      <c r="L32" s="2">
        <f t="shared" si="18"/>
        <v>2.6136363636363636E-3</v>
      </c>
      <c r="M32" s="2">
        <f t="shared" si="19"/>
        <v>1.1818181818181817E-3</v>
      </c>
      <c r="N32" s="2">
        <f t="shared" si="20"/>
        <v>-2.3863636363636361E-3</v>
      </c>
      <c r="O32" s="2">
        <f t="shared" si="21"/>
        <v>2.3863636363636361E-3</v>
      </c>
      <c r="P32" s="2">
        <f t="shared" si="22"/>
        <v>2.1136363636363635E-3</v>
      </c>
      <c r="Q32" s="2">
        <f t="shared" si="23"/>
        <v>-2.4318181818181817E-3</v>
      </c>
      <c r="R32" s="2">
        <f t="shared" si="24"/>
        <v>7.5454545454545462E-3</v>
      </c>
      <c r="S32" s="2">
        <f t="shared" si="25"/>
        <v>-1.590909090909091E-3</v>
      </c>
      <c r="U32" s="2">
        <f t="shared" si="10"/>
        <v>2.6188741118600848E-3</v>
      </c>
      <c r="V32" s="2">
        <f t="shared" si="11"/>
        <v>1.1865644395764876E-3</v>
      </c>
      <c r="W32" s="2">
        <f t="shared" si="12"/>
        <v>-2.4129055979409861E-3</v>
      </c>
      <c r="X32" s="2">
        <f t="shared" si="13"/>
        <v>2.3792259584881725E-3</v>
      </c>
      <c r="Y32" s="2">
        <f t="shared" si="14"/>
        <v>2.0401895401895393E-3</v>
      </c>
      <c r="Z32" s="2">
        <f t="shared" si="15"/>
        <v>-2.3226534687852724E-3</v>
      </c>
      <c r="AA32" s="2">
        <f t="shared" si="16"/>
        <v>7.5379166288257211E-3</v>
      </c>
      <c r="AB32" s="2">
        <f t="shared" si="17"/>
        <v>-1.587733623661767E-3</v>
      </c>
    </row>
    <row r="33" spans="1:28" x14ac:dyDescent="0.2">
      <c r="A33" t="s">
        <v>34</v>
      </c>
      <c r="B33" s="1" t="s">
        <v>11</v>
      </c>
      <c r="C33">
        <f>VLOOKUP($B33,gdp_cont!$A$2:$I$21,2,FALSE)</f>
        <v>0.115</v>
      </c>
      <c r="D33">
        <f>VLOOKUP($B33,gdp_cont!$A$2:$I$21,3,FALSE)</f>
        <v>5.1999999999999998E-2</v>
      </c>
      <c r="E33">
        <f>VLOOKUP($B33,gdp_cont!$A$2:$I$21,4,FALSE)</f>
        <v>-0.105</v>
      </c>
      <c r="F33">
        <f>VLOOKUP($B33,gdp_cont!$A$2:$I$21,5,FALSE)</f>
        <v>0.105</v>
      </c>
      <c r="G33">
        <f>VLOOKUP($B33,gdp_cont!$A$2:$I$21,6,FALSE)</f>
        <v>9.2999999999999999E-2</v>
      </c>
      <c r="H33">
        <f>VLOOKUP($B33,gdp_cont!$A$2:$I$21,7,FALSE)</f>
        <v>-0.107</v>
      </c>
      <c r="I33">
        <f>VLOOKUP($B33,gdp_cont!$A$2:$I$21,8,FALSE)</f>
        <v>0.33200000000000002</v>
      </c>
      <c r="J33">
        <f>VLOOKUP($B33,gdp_cont!$A$2:$I$21,9,FALSE)</f>
        <v>-7.0000000000000007E-2</v>
      </c>
      <c r="L33" s="2">
        <f t="shared" si="18"/>
        <v>2.6136363636363636E-3</v>
      </c>
      <c r="M33" s="2">
        <f t="shared" si="19"/>
        <v>1.1818181818181817E-3</v>
      </c>
      <c r="N33" s="2">
        <f t="shared" si="20"/>
        <v>-2.3863636363636361E-3</v>
      </c>
      <c r="O33" s="2">
        <f t="shared" si="21"/>
        <v>2.3863636363636361E-3</v>
      </c>
      <c r="P33" s="2">
        <f t="shared" si="22"/>
        <v>2.1136363636363635E-3</v>
      </c>
      <c r="Q33" s="2">
        <f t="shared" si="23"/>
        <v>-2.4318181818181817E-3</v>
      </c>
      <c r="R33" s="2">
        <f t="shared" si="24"/>
        <v>7.5454545454545462E-3</v>
      </c>
      <c r="S33" s="2">
        <f t="shared" si="25"/>
        <v>-1.590909090909091E-3</v>
      </c>
      <c r="U33" s="2">
        <f t="shared" si="10"/>
        <v>2.6188741118600848E-3</v>
      </c>
      <c r="V33" s="2">
        <f t="shared" si="11"/>
        <v>1.1865644395764876E-3</v>
      </c>
      <c r="W33" s="2">
        <f t="shared" si="12"/>
        <v>-2.4129055979409861E-3</v>
      </c>
      <c r="X33" s="2">
        <f t="shared" si="13"/>
        <v>2.3792259584881725E-3</v>
      </c>
      <c r="Y33" s="2">
        <f t="shared" si="14"/>
        <v>2.0401895401895393E-3</v>
      </c>
      <c r="Z33" s="2">
        <f t="shared" si="15"/>
        <v>-2.3226534687852724E-3</v>
      </c>
      <c r="AA33" s="2">
        <f t="shared" si="16"/>
        <v>7.5379166288257211E-3</v>
      </c>
      <c r="AB33" s="2">
        <f t="shared" si="17"/>
        <v>-1.587733623661767E-3</v>
      </c>
    </row>
    <row r="34" spans="1:28" x14ac:dyDescent="0.2">
      <c r="A34" t="s">
        <v>35</v>
      </c>
      <c r="B34" s="1" t="s">
        <v>11</v>
      </c>
      <c r="C34">
        <f>VLOOKUP($B34,gdp_cont!$A$2:$I$21,2,FALSE)</f>
        <v>0.115</v>
      </c>
      <c r="D34">
        <f>VLOOKUP($B34,gdp_cont!$A$2:$I$21,3,FALSE)</f>
        <v>5.1999999999999998E-2</v>
      </c>
      <c r="E34">
        <f>VLOOKUP($B34,gdp_cont!$A$2:$I$21,4,FALSE)</f>
        <v>-0.105</v>
      </c>
      <c r="F34">
        <f>VLOOKUP($B34,gdp_cont!$A$2:$I$21,5,FALSE)</f>
        <v>0.105</v>
      </c>
      <c r="G34">
        <f>VLOOKUP($B34,gdp_cont!$A$2:$I$21,6,FALSE)</f>
        <v>9.2999999999999999E-2</v>
      </c>
      <c r="H34">
        <f>VLOOKUP($B34,gdp_cont!$A$2:$I$21,7,FALSE)</f>
        <v>-0.107</v>
      </c>
      <c r="I34">
        <f>VLOOKUP($B34,gdp_cont!$A$2:$I$21,8,FALSE)</f>
        <v>0.33200000000000002</v>
      </c>
      <c r="J34">
        <f>VLOOKUP($B34,gdp_cont!$A$2:$I$21,9,FALSE)</f>
        <v>-7.0000000000000007E-2</v>
      </c>
      <c r="L34" s="2">
        <f t="shared" si="18"/>
        <v>2.6136363636363636E-3</v>
      </c>
      <c r="M34" s="2">
        <f t="shared" si="19"/>
        <v>1.1818181818181817E-3</v>
      </c>
      <c r="N34" s="2">
        <f t="shared" si="20"/>
        <v>-2.3863636363636361E-3</v>
      </c>
      <c r="O34" s="2">
        <f t="shared" si="21"/>
        <v>2.3863636363636361E-3</v>
      </c>
      <c r="P34" s="2">
        <f t="shared" si="22"/>
        <v>2.1136363636363635E-3</v>
      </c>
      <c r="Q34" s="2">
        <f t="shared" si="23"/>
        <v>-2.4318181818181817E-3</v>
      </c>
      <c r="R34" s="2">
        <f t="shared" si="24"/>
        <v>7.5454545454545462E-3</v>
      </c>
      <c r="S34" s="2">
        <f t="shared" si="25"/>
        <v>-1.590909090909091E-3</v>
      </c>
      <c r="U34" s="2">
        <f t="shared" si="10"/>
        <v>2.6188741118600848E-3</v>
      </c>
      <c r="V34" s="2">
        <f t="shared" si="11"/>
        <v>1.1865644395764876E-3</v>
      </c>
      <c r="W34" s="2">
        <f t="shared" si="12"/>
        <v>-2.4129055979409861E-3</v>
      </c>
      <c r="X34" s="2">
        <f t="shared" si="13"/>
        <v>2.3792259584881725E-3</v>
      </c>
      <c r="Y34" s="2">
        <f t="shared" si="14"/>
        <v>2.0401895401895393E-3</v>
      </c>
      <c r="Z34" s="2">
        <f t="shared" si="15"/>
        <v>-2.3226534687852724E-3</v>
      </c>
      <c r="AA34" s="2">
        <f t="shared" si="16"/>
        <v>7.5379166288257211E-3</v>
      </c>
      <c r="AB34" s="2">
        <f t="shared" si="17"/>
        <v>-1.587733623661767E-3</v>
      </c>
    </row>
    <row r="35" spans="1:28" x14ac:dyDescent="0.2">
      <c r="A35" t="s">
        <v>36</v>
      </c>
      <c r="B35" s="1" t="s">
        <v>11</v>
      </c>
      <c r="C35">
        <f>VLOOKUP($B35,gdp_cont!$A$2:$I$21,2,FALSE)</f>
        <v>0.115</v>
      </c>
      <c r="D35">
        <f>VLOOKUP($B35,gdp_cont!$A$2:$I$21,3,FALSE)</f>
        <v>5.1999999999999998E-2</v>
      </c>
      <c r="E35">
        <f>VLOOKUP($B35,gdp_cont!$A$2:$I$21,4,FALSE)</f>
        <v>-0.105</v>
      </c>
      <c r="F35">
        <f>VLOOKUP($B35,gdp_cont!$A$2:$I$21,5,FALSE)</f>
        <v>0.105</v>
      </c>
      <c r="G35">
        <f>VLOOKUP($B35,gdp_cont!$A$2:$I$21,6,FALSE)</f>
        <v>9.2999999999999999E-2</v>
      </c>
      <c r="H35">
        <f>VLOOKUP($B35,gdp_cont!$A$2:$I$21,7,FALSE)</f>
        <v>-0.107</v>
      </c>
      <c r="I35">
        <f>VLOOKUP($B35,gdp_cont!$A$2:$I$21,8,FALSE)</f>
        <v>0.33200000000000002</v>
      </c>
      <c r="J35">
        <f>VLOOKUP($B35,gdp_cont!$A$2:$I$21,9,FALSE)</f>
        <v>-7.0000000000000007E-2</v>
      </c>
      <c r="L35" s="2">
        <f t="shared" si="18"/>
        <v>2.6136363636363636E-3</v>
      </c>
      <c r="M35" s="2">
        <f t="shared" si="19"/>
        <v>1.1818181818181817E-3</v>
      </c>
      <c r="N35" s="2">
        <f t="shared" si="20"/>
        <v>-2.3863636363636361E-3</v>
      </c>
      <c r="O35" s="2">
        <f t="shared" si="21"/>
        <v>2.3863636363636361E-3</v>
      </c>
      <c r="P35" s="2">
        <f t="shared" si="22"/>
        <v>2.1136363636363635E-3</v>
      </c>
      <c r="Q35" s="2">
        <f t="shared" si="23"/>
        <v>-2.4318181818181817E-3</v>
      </c>
      <c r="R35" s="2">
        <f t="shared" si="24"/>
        <v>7.5454545454545462E-3</v>
      </c>
      <c r="S35" s="2">
        <f t="shared" si="25"/>
        <v>-1.590909090909091E-3</v>
      </c>
      <c r="U35" s="2">
        <f t="shared" si="10"/>
        <v>2.6188741118600848E-3</v>
      </c>
      <c r="V35" s="2">
        <f t="shared" si="11"/>
        <v>1.1865644395764876E-3</v>
      </c>
      <c r="W35" s="2">
        <f t="shared" si="12"/>
        <v>-2.4129055979409861E-3</v>
      </c>
      <c r="X35" s="2">
        <f t="shared" si="13"/>
        <v>2.3792259584881725E-3</v>
      </c>
      <c r="Y35" s="2">
        <f t="shared" si="14"/>
        <v>2.0401895401895393E-3</v>
      </c>
      <c r="Z35" s="2">
        <f t="shared" si="15"/>
        <v>-2.3226534687852724E-3</v>
      </c>
      <c r="AA35" s="2">
        <f t="shared" si="16"/>
        <v>7.5379166288257211E-3</v>
      </c>
      <c r="AB35" s="2">
        <f t="shared" si="17"/>
        <v>-1.587733623661767E-3</v>
      </c>
    </row>
    <row r="36" spans="1:28" x14ac:dyDescent="0.2">
      <c r="A36" t="s">
        <v>37</v>
      </c>
      <c r="B36" s="1" t="s">
        <v>11</v>
      </c>
      <c r="C36">
        <f>VLOOKUP($B36,gdp_cont!$A$2:$I$21,2,FALSE)</f>
        <v>0.115</v>
      </c>
      <c r="D36">
        <f>VLOOKUP($B36,gdp_cont!$A$2:$I$21,3,FALSE)</f>
        <v>5.1999999999999998E-2</v>
      </c>
      <c r="E36">
        <f>VLOOKUP($B36,gdp_cont!$A$2:$I$21,4,FALSE)</f>
        <v>-0.105</v>
      </c>
      <c r="F36">
        <f>VLOOKUP($B36,gdp_cont!$A$2:$I$21,5,FALSE)</f>
        <v>0.105</v>
      </c>
      <c r="G36">
        <f>VLOOKUP($B36,gdp_cont!$A$2:$I$21,6,FALSE)</f>
        <v>9.2999999999999999E-2</v>
      </c>
      <c r="H36">
        <f>VLOOKUP($B36,gdp_cont!$A$2:$I$21,7,FALSE)</f>
        <v>-0.107</v>
      </c>
      <c r="I36">
        <f>VLOOKUP($B36,gdp_cont!$A$2:$I$21,8,FALSE)</f>
        <v>0.33200000000000002</v>
      </c>
      <c r="J36">
        <f>VLOOKUP($B36,gdp_cont!$A$2:$I$21,9,FALSE)</f>
        <v>-7.0000000000000007E-2</v>
      </c>
      <c r="L36" s="2">
        <f t="shared" si="18"/>
        <v>2.6136363636363636E-3</v>
      </c>
      <c r="M36" s="2">
        <f t="shared" si="19"/>
        <v>1.1818181818181817E-3</v>
      </c>
      <c r="N36" s="2">
        <f t="shared" si="20"/>
        <v>-2.3863636363636361E-3</v>
      </c>
      <c r="O36" s="2">
        <f t="shared" si="21"/>
        <v>2.3863636363636361E-3</v>
      </c>
      <c r="P36" s="2">
        <f t="shared" si="22"/>
        <v>2.1136363636363635E-3</v>
      </c>
      <c r="Q36" s="2">
        <f t="shared" si="23"/>
        <v>-2.4318181818181817E-3</v>
      </c>
      <c r="R36" s="2">
        <f t="shared" si="24"/>
        <v>7.5454545454545462E-3</v>
      </c>
      <c r="S36" s="2">
        <f t="shared" si="25"/>
        <v>-1.590909090909091E-3</v>
      </c>
      <c r="U36" s="2">
        <f t="shared" si="10"/>
        <v>2.6188741118600848E-3</v>
      </c>
      <c r="V36" s="2">
        <f t="shared" si="11"/>
        <v>1.1865644395764876E-3</v>
      </c>
      <c r="W36" s="2">
        <f t="shared" si="12"/>
        <v>-2.4129055979409861E-3</v>
      </c>
      <c r="X36" s="2">
        <f t="shared" si="13"/>
        <v>2.3792259584881725E-3</v>
      </c>
      <c r="Y36" s="2">
        <f t="shared" si="14"/>
        <v>2.0401895401895393E-3</v>
      </c>
      <c r="Z36" s="2">
        <f t="shared" si="15"/>
        <v>-2.3226534687852724E-3</v>
      </c>
      <c r="AA36" s="2">
        <f t="shared" si="16"/>
        <v>7.5379166288257211E-3</v>
      </c>
      <c r="AB36" s="2">
        <f t="shared" si="17"/>
        <v>-1.587733623661767E-3</v>
      </c>
    </row>
    <row r="37" spans="1:28" x14ac:dyDescent="0.2">
      <c r="A37" t="s">
        <v>38</v>
      </c>
      <c r="B37" s="1" t="s">
        <v>11</v>
      </c>
      <c r="C37">
        <f>VLOOKUP($B37,gdp_cont!$A$2:$I$21,2,FALSE)</f>
        <v>0.115</v>
      </c>
      <c r="D37">
        <f>VLOOKUP($B37,gdp_cont!$A$2:$I$21,3,FALSE)</f>
        <v>5.1999999999999998E-2</v>
      </c>
      <c r="E37">
        <f>VLOOKUP($B37,gdp_cont!$A$2:$I$21,4,FALSE)</f>
        <v>-0.105</v>
      </c>
      <c r="F37">
        <f>VLOOKUP($B37,gdp_cont!$A$2:$I$21,5,FALSE)</f>
        <v>0.105</v>
      </c>
      <c r="G37">
        <f>VLOOKUP($B37,gdp_cont!$A$2:$I$21,6,FALSE)</f>
        <v>9.2999999999999999E-2</v>
      </c>
      <c r="H37">
        <f>VLOOKUP($B37,gdp_cont!$A$2:$I$21,7,FALSE)</f>
        <v>-0.107</v>
      </c>
      <c r="I37">
        <f>VLOOKUP($B37,gdp_cont!$A$2:$I$21,8,FALSE)</f>
        <v>0.33200000000000002</v>
      </c>
      <c r="J37">
        <f>VLOOKUP($B37,gdp_cont!$A$2:$I$21,9,FALSE)</f>
        <v>-7.0000000000000007E-2</v>
      </c>
      <c r="L37" s="2">
        <f t="shared" si="18"/>
        <v>2.6136363636363636E-3</v>
      </c>
      <c r="M37" s="2">
        <f t="shared" si="19"/>
        <v>1.1818181818181817E-3</v>
      </c>
      <c r="N37" s="2">
        <f t="shared" si="20"/>
        <v>-2.3863636363636361E-3</v>
      </c>
      <c r="O37" s="2">
        <f t="shared" si="21"/>
        <v>2.3863636363636361E-3</v>
      </c>
      <c r="P37" s="2">
        <f t="shared" si="22"/>
        <v>2.1136363636363635E-3</v>
      </c>
      <c r="Q37" s="2">
        <f t="shared" si="23"/>
        <v>-2.4318181818181817E-3</v>
      </c>
      <c r="R37" s="2">
        <f t="shared" si="24"/>
        <v>7.5454545454545462E-3</v>
      </c>
      <c r="S37" s="2">
        <f t="shared" si="25"/>
        <v>-1.590909090909091E-3</v>
      </c>
      <c r="U37" s="2">
        <f t="shared" si="10"/>
        <v>2.6188741118600848E-3</v>
      </c>
      <c r="V37" s="2">
        <f t="shared" si="11"/>
        <v>1.1865644395764876E-3</v>
      </c>
      <c r="W37" s="2">
        <f t="shared" si="12"/>
        <v>-2.4129055979409861E-3</v>
      </c>
      <c r="X37" s="2">
        <f t="shared" si="13"/>
        <v>2.3792259584881725E-3</v>
      </c>
      <c r="Y37" s="2">
        <f t="shared" si="14"/>
        <v>2.0401895401895393E-3</v>
      </c>
      <c r="Z37" s="2">
        <f t="shared" si="15"/>
        <v>-2.3226534687852724E-3</v>
      </c>
      <c r="AA37" s="2">
        <f t="shared" si="16"/>
        <v>7.5379166288257211E-3</v>
      </c>
      <c r="AB37" s="2">
        <f t="shared" si="17"/>
        <v>-1.587733623661767E-3</v>
      </c>
    </row>
    <row r="38" spans="1:28" x14ac:dyDescent="0.2">
      <c r="A38" t="s">
        <v>39</v>
      </c>
      <c r="B38" s="1" t="s">
        <v>11</v>
      </c>
      <c r="C38">
        <f>VLOOKUP($B38,gdp_cont!$A$2:$I$21,2,FALSE)</f>
        <v>0.115</v>
      </c>
      <c r="D38">
        <f>VLOOKUP($B38,gdp_cont!$A$2:$I$21,3,FALSE)</f>
        <v>5.1999999999999998E-2</v>
      </c>
      <c r="E38">
        <f>VLOOKUP($B38,gdp_cont!$A$2:$I$21,4,FALSE)</f>
        <v>-0.105</v>
      </c>
      <c r="F38">
        <f>VLOOKUP($B38,gdp_cont!$A$2:$I$21,5,FALSE)</f>
        <v>0.105</v>
      </c>
      <c r="G38">
        <f>VLOOKUP($B38,gdp_cont!$A$2:$I$21,6,FALSE)</f>
        <v>9.2999999999999999E-2</v>
      </c>
      <c r="H38">
        <f>VLOOKUP($B38,gdp_cont!$A$2:$I$21,7,FALSE)</f>
        <v>-0.107</v>
      </c>
      <c r="I38">
        <f>VLOOKUP($B38,gdp_cont!$A$2:$I$21,8,FALSE)</f>
        <v>0.33200000000000002</v>
      </c>
      <c r="J38">
        <f>VLOOKUP($B38,gdp_cont!$A$2:$I$21,9,FALSE)</f>
        <v>-7.0000000000000007E-2</v>
      </c>
      <c r="L38" s="2">
        <f t="shared" si="18"/>
        <v>2.6136363636363636E-3</v>
      </c>
      <c r="M38" s="2">
        <f t="shared" si="19"/>
        <v>1.1818181818181817E-3</v>
      </c>
      <c r="N38" s="2">
        <f t="shared" si="20"/>
        <v>-2.3863636363636361E-3</v>
      </c>
      <c r="O38" s="2">
        <f t="shared" si="21"/>
        <v>2.3863636363636361E-3</v>
      </c>
      <c r="P38" s="2">
        <f t="shared" si="22"/>
        <v>2.1136363636363635E-3</v>
      </c>
      <c r="Q38" s="2">
        <f t="shared" si="23"/>
        <v>-2.4318181818181817E-3</v>
      </c>
      <c r="R38" s="2">
        <f t="shared" si="24"/>
        <v>7.5454545454545462E-3</v>
      </c>
      <c r="S38" s="2">
        <f t="shared" si="25"/>
        <v>-1.590909090909091E-3</v>
      </c>
      <c r="U38" s="2">
        <f t="shared" si="10"/>
        <v>2.6188741118600848E-3</v>
      </c>
      <c r="V38" s="2">
        <f t="shared" si="11"/>
        <v>1.1865644395764876E-3</v>
      </c>
      <c r="W38" s="2">
        <f t="shared" si="12"/>
        <v>-2.4129055979409861E-3</v>
      </c>
      <c r="X38" s="2">
        <f t="shared" si="13"/>
        <v>2.3792259584881725E-3</v>
      </c>
      <c r="Y38" s="2">
        <f t="shared" si="14"/>
        <v>2.0401895401895393E-3</v>
      </c>
      <c r="Z38" s="2">
        <f t="shared" si="15"/>
        <v>-2.3226534687852724E-3</v>
      </c>
      <c r="AA38" s="2">
        <f t="shared" si="16"/>
        <v>7.5379166288257211E-3</v>
      </c>
      <c r="AB38" s="2">
        <f t="shared" si="17"/>
        <v>-1.587733623661767E-3</v>
      </c>
    </row>
    <row r="39" spans="1:28" x14ac:dyDescent="0.2">
      <c r="A39" t="s">
        <v>40</v>
      </c>
      <c r="B39" s="1" t="s">
        <v>11</v>
      </c>
      <c r="C39">
        <f>VLOOKUP($B39,gdp_cont!$A$2:$I$21,2,FALSE)</f>
        <v>0.115</v>
      </c>
      <c r="D39">
        <f>VLOOKUP($B39,gdp_cont!$A$2:$I$21,3,FALSE)</f>
        <v>5.1999999999999998E-2</v>
      </c>
      <c r="E39">
        <f>VLOOKUP($B39,gdp_cont!$A$2:$I$21,4,FALSE)</f>
        <v>-0.105</v>
      </c>
      <c r="F39">
        <f>VLOOKUP($B39,gdp_cont!$A$2:$I$21,5,FALSE)</f>
        <v>0.105</v>
      </c>
      <c r="G39">
        <f>VLOOKUP($B39,gdp_cont!$A$2:$I$21,6,FALSE)</f>
        <v>9.2999999999999999E-2</v>
      </c>
      <c r="H39">
        <f>VLOOKUP($B39,gdp_cont!$A$2:$I$21,7,FALSE)</f>
        <v>-0.107</v>
      </c>
      <c r="I39">
        <f>VLOOKUP($B39,gdp_cont!$A$2:$I$21,8,FALSE)</f>
        <v>0.33200000000000002</v>
      </c>
      <c r="J39">
        <f>VLOOKUP($B39,gdp_cont!$A$2:$I$21,9,FALSE)</f>
        <v>-7.0000000000000007E-2</v>
      </c>
      <c r="L39" s="2">
        <f t="shared" si="18"/>
        <v>2.6136363636363636E-3</v>
      </c>
      <c r="M39" s="2">
        <f t="shared" si="19"/>
        <v>1.1818181818181817E-3</v>
      </c>
      <c r="N39" s="2">
        <f t="shared" si="20"/>
        <v>-2.3863636363636361E-3</v>
      </c>
      <c r="O39" s="2">
        <f t="shared" si="21"/>
        <v>2.3863636363636361E-3</v>
      </c>
      <c r="P39" s="2">
        <f t="shared" si="22"/>
        <v>2.1136363636363635E-3</v>
      </c>
      <c r="Q39" s="2">
        <f t="shared" si="23"/>
        <v>-2.4318181818181817E-3</v>
      </c>
      <c r="R39" s="2">
        <f t="shared" si="24"/>
        <v>7.5454545454545462E-3</v>
      </c>
      <c r="S39" s="2">
        <f t="shared" si="25"/>
        <v>-1.590909090909091E-3</v>
      </c>
      <c r="U39" s="2">
        <f t="shared" si="10"/>
        <v>2.6188741118600848E-3</v>
      </c>
      <c r="V39" s="2">
        <f t="shared" si="11"/>
        <v>1.1865644395764876E-3</v>
      </c>
      <c r="W39" s="2">
        <f t="shared" si="12"/>
        <v>-2.4129055979409861E-3</v>
      </c>
      <c r="X39" s="2">
        <f t="shared" si="13"/>
        <v>2.3792259584881725E-3</v>
      </c>
      <c r="Y39" s="2">
        <f t="shared" si="14"/>
        <v>2.0401895401895393E-3</v>
      </c>
      <c r="Z39" s="2">
        <f t="shared" si="15"/>
        <v>-2.3226534687852724E-3</v>
      </c>
      <c r="AA39" s="2">
        <f t="shared" si="16"/>
        <v>7.5379166288257211E-3</v>
      </c>
      <c r="AB39" s="2">
        <f t="shared" si="17"/>
        <v>-1.587733623661767E-3</v>
      </c>
    </row>
    <row r="40" spans="1:28" x14ac:dyDescent="0.2">
      <c r="A40" t="s">
        <v>41</v>
      </c>
      <c r="B40" s="1" t="s">
        <v>11</v>
      </c>
      <c r="C40">
        <f>VLOOKUP($B40,gdp_cont!$A$2:$I$21,2,FALSE)</f>
        <v>0.115</v>
      </c>
      <c r="D40">
        <f>VLOOKUP($B40,gdp_cont!$A$2:$I$21,3,FALSE)</f>
        <v>5.1999999999999998E-2</v>
      </c>
      <c r="E40">
        <f>VLOOKUP($B40,gdp_cont!$A$2:$I$21,4,FALSE)</f>
        <v>-0.105</v>
      </c>
      <c r="F40">
        <f>VLOOKUP($B40,gdp_cont!$A$2:$I$21,5,FALSE)</f>
        <v>0.105</v>
      </c>
      <c r="G40">
        <f>VLOOKUP($B40,gdp_cont!$A$2:$I$21,6,FALSE)</f>
        <v>9.2999999999999999E-2</v>
      </c>
      <c r="H40">
        <f>VLOOKUP($B40,gdp_cont!$A$2:$I$21,7,FALSE)</f>
        <v>-0.107</v>
      </c>
      <c r="I40">
        <f>VLOOKUP($B40,gdp_cont!$A$2:$I$21,8,FALSE)</f>
        <v>0.33200000000000002</v>
      </c>
      <c r="J40">
        <f>VLOOKUP($B40,gdp_cont!$A$2:$I$21,9,FALSE)</f>
        <v>-7.0000000000000007E-2</v>
      </c>
      <c r="L40" s="2">
        <f t="shared" si="18"/>
        <v>2.6136363636363636E-3</v>
      </c>
      <c r="M40" s="2">
        <f t="shared" si="19"/>
        <v>1.1818181818181817E-3</v>
      </c>
      <c r="N40" s="2">
        <f t="shared" si="20"/>
        <v>-2.3863636363636361E-3</v>
      </c>
      <c r="O40" s="2">
        <f t="shared" si="21"/>
        <v>2.3863636363636361E-3</v>
      </c>
      <c r="P40" s="2">
        <f t="shared" si="22"/>
        <v>2.1136363636363635E-3</v>
      </c>
      <c r="Q40" s="2">
        <f t="shared" si="23"/>
        <v>-2.4318181818181817E-3</v>
      </c>
      <c r="R40" s="2">
        <f t="shared" si="24"/>
        <v>7.5454545454545462E-3</v>
      </c>
      <c r="S40" s="2">
        <f t="shared" si="25"/>
        <v>-1.590909090909091E-3</v>
      </c>
      <c r="U40" s="2">
        <f t="shared" si="10"/>
        <v>2.6188741118600848E-3</v>
      </c>
      <c r="V40" s="2">
        <f t="shared" si="11"/>
        <v>1.1865644395764876E-3</v>
      </c>
      <c r="W40" s="2">
        <f t="shared" si="12"/>
        <v>-2.4129055979409861E-3</v>
      </c>
      <c r="X40" s="2">
        <f t="shared" si="13"/>
        <v>2.3792259584881725E-3</v>
      </c>
      <c r="Y40" s="2">
        <f t="shared" si="14"/>
        <v>2.0401895401895393E-3</v>
      </c>
      <c r="Z40" s="2">
        <f t="shared" si="15"/>
        <v>-2.3226534687852724E-3</v>
      </c>
      <c r="AA40" s="2">
        <f t="shared" si="16"/>
        <v>7.5379166288257211E-3</v>
      </c>
      <c r="AB40" s="2">
        <f t="shared" si="17"/>
        <v>-1.587733623661767E-3</v>
      </c>
    </row>
    <row r="41" spans="1:28" x14ac:dyDescent="0.2">
      <c r="A41" t="s">
        <v>42</v>
      </c>
      <c r="B41" s="1" t="s">
        <v>11</v>
      </c>
      <c r="C41">
        <f>VLOOKUP($B41,gdp_cont!$A$2:$I$21,2,FALSE)</f>
        <v>0.115</v>
      </c>
      <c r="D41">
        <f>VLOOKUP($B41,gdp_cont!$A$2:$I$21,3,FALSE)</f>
        <v>5.1999999999999998E-2</v>
      </c>
      <c r="E41">
        <f>VLOOKUP($B41,gdp_cont!$A$2:$I$21,4,FALSE)</f>
        <v>-0.105</v>
      </c>
      <c r="F41">
        <f>VLOOKUP($B41,gdp_cont!$A$2:$I$21,5,FALSE)</f>
        <v>0.105</v>
      </c>
      <c r="G41">
        <f>VLOOKUP($B41,gdp_cont!$A$2:$I$21,6,FALSE)</f>
        <v>9.2999999999999999E-2</v>
      </c>
      <c r="H41">
        <f>VLOOKUP($B41,gdp_cont!$A$2:$I$21,7,FALSE)</f>
        <v>-0.107</v>
      </c>
      <c r="I41">
        <f>VLOOKUP($B41,gdp_cont!$A$2:$I$21,8,FALSE)</f>
        <v>0.33200000000000002</v>
      </c>
      <c r="J41">
        <f>VLOOKUP($B41,gdp_cont!$A$2:$I$21,9,FALSE)</f>
        <v>-7.0000000000000007E-2</v>
      </c>
      <c r="L41" s="2">
        <f t="shared" si="18"/>
        <v>2.6136363636363636E-3</v>
      </c>
      <c r="M41" s="2">
        <f t="shared" si="19"/>
        <v>1.1818181818181817E-3</v>
      </c>
      <c r="N41" s="2">
        <f t="shared" si="20"/>
        <v>-2.3863636363636361E-3</v>
      </c>
      <c r="O41" s="2">
        <f t="shared" si="21"/>
        <v>2.3863636363636361E-3</v>
      </c>
      <c r="P41" s="2">
        <f t="shared" si="22"/>
        <v>2.1136363636363635E-3</v>
      </c>
      <c r="Q41" s="2">
        <f t="shared" si="23"/>
        <v>-2.4318181818181817E-3</v>
      </c>
      <c r="R41" s="2">
        <f t="shared" si="24"/>
        <v>7.5454545454545462E-3</v>
      </c>
      <c r="S41" s="2">
        <f t="shared" si="25"/>
        <v>-1.590909090909091E-3</v>
      </c>
      <c r="U41" s="2">
        <f t="shared" si="10"/>
        <v>2.6188741118600848E-3</v>
      </c>
      <c r="V41" s="2">
        <f t="shared" si="11"/>
        <v>1.1865644395764876E-3</v>
      </c>
      <c r="W41" s="2">
        <f t="shared" si="12"/>
        <v>-2.4129055979409861E-3</v>
      </c>
      <c r="X41" s="2">
        <f t="shared" si="13"/>
        <v>2.3792259584881725E-3</v>
      </c>
      <c r="Y41" s="2">
        <f t="shared" si="14"/>
        <v>2.0401895401895393E-3</v>
      </c>
      <c r="Z41" s="2">
        <f t="shared" si="15"/>
        <v>-2.3226534687852724E-3</v>
      </c>
      <c r="AA41" s="2">
        <f t="shared" si="16"/>
        <v>7.5379166288257211E-3</v>
      </c>
      <c r="AB41" s="2">
        <f t="shared" si="17"/>
        <v>-1.587733623661767E-3</v>
      </c>
    </row>
    <row r="42" spans="1:28" x14ac:dyDescent="0.2">
      <c r="A42" t="s">
        <v>43</v>
      </c>
      <c r="B42" s="1" t="s">
        <v>11</v>
      </c>
      <c r="C42">
        <f>VLOOKUP($B42,gdp_cont!$A$2:$I$21,2,FALSE)</f>
        <v>0.115</v>
      </c>
      <c r="D42">
        <f>VLOOKUP($B42,gdp_cont!$A$2:$I$21,3,FALSE)</f>
        <v>5.1999999999999998E-2</v>
      </c>
      <c r="E42">
        <f>VLOOKUP($B42,gdp_cont!$A$2:$I$21,4,FALSE)</f>
        <v>-0.105</v>
      </c>
      <c r="F42">
        <f>VLOOKUP($B42,gdp_cont!$A$2:$I$21,5,FALSE)</f>
        <v>0.105</v>
      </c>
      <c r="G42">
        <f>VLOOKUP($B42,gdp_cont!$A$2:$I$21,6,FALSE)</f>
        <v>9.2999999999999999E-2</v>
      </c>
      <c r="H42">
        <f>VLOOKUP($B42,gdp_cont!$A$2:$I$21,7,FALSE)</f>
        <v>-0.107</v>
      </c>
      <c r="I42">
        <f>VLOOKUP($B42,gdp_cont!$A$2:$I$21,8,FALSE)</f>
        <v>0.33200000000000002</v>
      </c>
      <c r="J42">
        <f>VLOOKUP($B42,gdp_cont!$A$2:$I$21,9,FALSE)</f>
        <v>-7.0000000000000007E-2</v>
      </c>
      <c r="L42" s="2">
        <f t="shared" si="18"/>
        <v>2.6136363636363636E-3</v>
      </c>
      <c r="M42" s="2">
        <f t="shared" si="19"/>
        <v>1.1818181818181817E-3</v>
      </c>
      <c r="N42" s="2">
        <f t="shared" si="20"/>
        <v>-2.3863636363636361E-3</v>
      </c>
      <c r="O42" s="2">
        <f t="shared" si="21"/>
        <v>2.3863636363636361E-3</v>
      </c>
      <c r="P42" s="2">
        <f t="shared" si="22"/>
        <v>2.1136363636363635E-3</v>
      </c>
      <c r="Q42" s="2">
        <f t="shared" si="23"/>
        <v>-2.4318181818181817E-3</v>
      </c>
      <c r="R42" s="2">
        <f t="shared" si="24"/>
        <v>7.5454545454545462E-3</v>
      </c>
      <c r="S42" s="2">
        <f t="shared" si="25"/>
        <v>-1.590909090909091E-3</v>
      </c>
      <c r="U42" s="2">
        <f t="shared" si="10"/>
        <v>2.6188741118600848E-3</v>
      </c>
      <c r="V42" s="2">
        <f t="shared" si="11"/>
        <v>1.1865644395764876E-3</v>
      </c>
      <c r="W42" s="2">
        <f t="shared" si="12"/>
        <v>-2.4129055979409861E-3</v>
      </c>
      <c r="X42" s="2">
        <f t="shared" si="13"/>
        <v>2.3792259584881725E-3</v>
      </c>
      <c r="Y42" s="2">
        <f t="shared" si="14"/>
        <v>2.0401895401895393E-3</v>
      </c>
      <c r="Z42" s="2">
        <f t="shared" si="15"/>
        <v>-2.3226534687852724E-3</v>
      </c>
      <c r="AA42" s="2">
        <f t="shared" si="16"/>
        <v>7.5379166288257211E-3</v>
      </c>
      <c r="AB42" s="2">
        <f t="shared" si="17"/>
        <v>-1.587733623661767E-3</v>
      </c>
    </row>
    <row r="43" spans="1:28" x14ac:dyDescent="0.2">
      <c r="A43" t="s">
        <v>44</v>
      </c>
      <c r="B43" s="1" t="s">
        <v>11</v>
      </c>
      <c r="C43">
        <f>VLOOKUP($B43,gdp_cont!$A$2:$I$21,2,FALSE)</f>
        <v>0.115</v>
      </c>
      <c r="D43">
        <f>VLOOKUP($B43,gdp_cont!$A$2:$I$21,3,FALSE)</f>
        <v>5.1999999999999998E-2</v>
      </c>
      <c r="E43">
        <f>VLOOKUP($B43,gdp_cont!$A$2:$I$21,4,FALSE)</f>
        <v>-0.105</v>
      </c>
      <c r="F43">
        <f>VLOOKUP($B43,gdp_cont!$A$2:$I$21,5,FALSE)</f>
        <v>0.105</v>
      </c>
      <c r="G43">
        <f>VLOOKUP($B43,gdp_cont!$A$2:$I$21,6,FALSE)</f>
        <v>9.2999999999999999E-2</v>
      </c>
      <c r="H43">
        <f>VLOOKUP($B43,gdp_cont!$A$2:$I$21,7,FALSE)</f>
        <v>-0.107</v>
      </c>
      <c r="I43">
        <f>VLOOKUP($B43,gdp_cont!$A$2:$I$21,8,FALSE)</f>
        <v>0.33200000000000002</v>
      </c>
      <c r="J43">
        <f>VLOOKUP($B43,gdp_cont!$A$2:$I$21,9,FALSE)</f>
        <v>-7.0000000000000007E-2</v>
      </c>
      <c r="L43" s="2">
        <f t="shared" si="18"/>
        <v>2.6136363636363636E-3</v>
      </c>
      <c r="M43" s="2">
        <f t="shared" si="19"/>
        <v>1.1818181818181817E-3</v>
      </c>
      <c r="N43" s="2">
        <f t="shared" si="20"/>
        <v>-2.3863636363636361E-3</v>
      </c>
      <c r="O43" s="2">
        <f t="shared" si="21"/>
        <v>2.3863636363636361E-3</v>
      </c>
      <c r="P43" s="2">
        <f t="shared" si="22"/>
        <v>2.1136363636363635E-3</v>
      </c>
      <c r="Q43" s="2">
        <f t="shared" si="23"/>
        <v>-2.4318181818181817E-3</v>
      </c>
      <c r="R43" s="2">
        <f t="shared" si="24"/>
        <v>7.5454545454545462E-3</v>
      </c>
      <c r="S43" s="2">
        <f t="shared" si="25"/>
        <v>-1.590909090909091E-3</v>
      </c>
      <c r="U43" s="2">
        <f t="shared" si="10"/>
        <v>2.6188741118600848E-3</v>
      </c>
      <c r="V43" s="2">
        <f t="shared" si="11"/>
        <v>1.1865644395764876E-3</v>
      </c>
      <c r="W43" s="2">
        <f t="shared" si="12"/>
        <v>-2.4129055979409861E-3</v>
      </c>
      <c r="X43" s="2">
        <f t="shared" si="13"/>
        <v>2.3792259584881725E-3</v>
      </c>
      <c r="Y43" s="2">
        <f t="shared" si="14"/>
        <v>2.0401895401895393E-3</v>
      </c>
      <c r="Z43" s="2">
        <f t="shared" si="15"/>
        <v>-2.3226534687852724E-3</v>
      </c>
      <c r="AA43" s="2">
        <f t="shared" si="16"/>
        <v>7.5379166288257211E-3</v>
      </c>
      <c r="AB43" s="2">
        <f t="shared" si="17"/>
        <v>-1.587733623661767E-3</v>
      </c>
    </row>
    <row r="44" spans="1:28" x14ac:dyDescent="0.2">
      <c r="A44" t="s">
        <v>45</v>
      </c>
      <c r="B44" s="1" t="s">
        <v>11</v>
      </c>
      <c r="C44">
        <f>VLOOKUP($B44,gdp_cont!$A$2:$I$21,2,FALSE)</f>
        <v>0.115</v>
      </c>
      <c r="D44">
        <f>VLOOKUP($B44,gdp_cont!$A$2:$I$21,3,FALSE)</f>
        <v>5.1999999999999998E-2</v>
      </c>
      <c r="E44">
        <f>VLOOKUP($B44,gdp_cont!$A$2:$I$21,4,FALSE)</f>
        <v>-0.105</v>
      </c>
      <c r="F44">
        <f>VLOOKUP($B44,gdp_cont!$A$2:$I$21,5,FALSE)</f>
        <v>0.105</v>
      </c>
      <c r="G44">
        <f>VLOOKUP($B44,gdp_cont!$A$2:$I$21,6,FALSE)</f>
        <v>9.2999999999999999E-2</v>
      </c>
      <c r="H44">
        <f>VLOOKUP($B44,gdp_cont!$A$2:$I$21,7,FALSE)</f>
        <v>-0.107</v>
      </c>
      <c r="I44">
        <f>VLOOKUP($B44,gdp_cont!$A$2:$I$21,8,FALSE)</f>
        <v>0.33200000000000002</v>
      </c>
      <c r="J44">
        <f>VLOOKUP($B44,gdp_cont!$A$2:$I$21,9,FALSE)</f>
        <v>-7.0000000000000007E-2</v>
      </c>
      <c r="L44" s="2">
        <f t="shared" si="18"/>
        <v>2.6136363636363636E-3</v>
      </c>
      <c r="M44" s="2">
        <f t="shared" si="19"/>
        <v>1.1818181818181817E-3</v>
      </c>
      <c r="N44" s="2">
        <f t="shared" si="20"/>
        <v>-2.3863636363636361E-3</v>
      </c>
      <c r="O44" s="2">
        <f t="shared" si="21"/>
        <v>2.3863636363636361E-3</v>
      </c>
      <c r="P44" s="2">
        <f t="shared" si="22"/>
        <v>2.1136363636363635E-3</v>
      </c>
      <c r="Q44" s="2">
        <f t="shared" si="23"/>
        <v>-2.4318181818181817E-3</v>
      </c>
      <c r="R44" s="2">
        <f t="shared" si="24"/>
        <v>7.5454545454545462E-3</v>
      </c>
      <c r="S44" s="2">
        <f t="shared" si="25"/>
        <v>-1.590909090909091E-3</v>
      </c>
      <c r="U44" s="2">
        <f t="shared" si="10"/>
        <v>2.6188741118600848E-3</v>
      </c>
      <c r="V44" s="2">
        <f t="shared" si="11"/>
        <v>1.1865644395764876E-3</v>
      </c>
      <c r="W44" s="2">
        <f t="shared" si="12"/>
        <v>-2.4129055979409861E-3</v>
      </c>
      <c r="X44" s="2">
        <f t="shared" si="13"/>
        <v>2.3792259584881725E-3</v>
      </c>
      <c r="Y44" s="2">
        <f t="shared" si="14"/>
        <v>2.0401895401895393E-3</v>
      </c>
      <c r="Z44" s="2">
        <f t="shared" si="15"/>
        <v>-2.3226534687852724E-3</v>
      </c>
      <c r="AA44" s="2">
        <f t="shared" si="16"/>
        <v>7.5379166288257211E-3</v>
      </c>
      <c r="AB44" s="2">
        <f t="shared" si="17"/>
        <v>-1.587733623661767E-3</v>
      </c>
    </row>
    <row r="45" spans="1:28" x14ac:dyDescent="0.2">
      <c r="A45" t="s">
        <v>46</v>
      </c>
      <c r="B45" s="1" t="s">
        <v>11</v>
      </c>
      <c r="C45">
        <f>VLOOKUP($B45,gdp_cont!$A$2:$I$21,2,FALSE)</f>
        <v>0.115</v>
      </c>
      <c r="D45">
        <f>VLOOKUP($B45,gdp_cont!$A$2:$I$21,3,FALSE)</f>
        <v>5.1999999999999998E-2</v>
      </c>
      <c r="E45">
        <f>VLOOKUP($B45,gdp_cont!$A$2:$I$21,4,FALSE)</f>
        <v>-0.105</v>
      </c>
      <c r="F45">
        <f>VLOOKUP($B45,gdp_cont!$A$2:$I$21,5,FALSE)</f>
        <v>0.105</v>
      </c>
      <c r="G45">
        <f>VLOOKUP($B45,gdp_cont!$A$2:$I$21,6,FALSE)</f>
        <v>9.2999999999999999E-2</v>
      </c>
      <c r="H45">
        <f>VLOOKUP($B45,gdp_cont!$A$2:$I$21,7,FALSE)</f>
        <v>-0.107</v>
      </c>
      <c r="I45">
        <f>VLOOKUP($B45,gdp_cont!$A$2:$I$21,8,FALSE)</f>
        <v>0.33200000000000002</v>
      </c>
      <c r="J45">
        <f>VLOOKUP($B45,gdp_cont!$A$2:$I$21,9,FALSE)</f>
        <v>-7.0000000000000007E-2</v>
      </c>
      <c r="L45" s="2">
        <f t="shared" si="18"/>
        <v>2.6136363636363636E-3</v>
      </c>
      <c r="M45" s="2">
        <f t="shared" si="19"/>
        <v>1.1818181818181817E-3</v>
      </c>
      <c r="N45" s="2">
        <f t="shared" si="20"/>
        <v>-2.3863636363636361E-3</v>
      </c>
      <c r="O45" s="2">
        <f t="shared" si="21"/>
        <v>2.3863636363636361E-3</v>
      </c>
      <c r="P45" s="2">
        <f t="shared" si="22"/>
        <v>2.1136363636363635E-3</v>
      </c>
      <c r="Q45" s="2">
        <f t="shared" si="23"/>
        <v>-2.4318181818181817E-3</v>
      </c>
      <c r="R45" s="2">
        <f t="shared" si="24"/>
        <v>7.5454545454545462E-3</v>
      </c>
      <c r="S45" s="2">
        <f t="shared" si="25"/>
        <v>-1.590909090909091E-3</v>
      </c>
      <c r="U45" s="2">
        <f t="shared" si="10"/>
        <v>2.6188741118600848E-3</v>
      </c>
      <c r="V45" s="2">
        <f t="shared" si="11"/>
        <v>1.1865644395764876E-3</v>
      </c>
      <c r="W45" s="2">
        <f t="shared" si="12"/>
        <v>-2.4129055979409861E-3</v>
      </c>
      <c r="X45" s="2">
        <f t="shared" si="13"/>
        <v>2.3792259584881725E-3</v>
      </c>
      <c r="Y45" s="2">
        <f t="shared" si="14"/>
        <v>2.0401895401895393E-3</v>
      </c>
      <c r="Z45" s="2">
        <f t="shared" si="15"/>
        <v>-2.3226534687852724E-3</v>
      </c>
      <c r="AA45" s="2">
        <f t="shared" si="16"/>
        <v>7.5379166288257211E-3</v>
      </c>
      <c r="AB45" s="2">
        <f t="shared" si="17"/>
        <v>-1.587733623661767E-3</v>
      </c>
    </row>
    <row r="46" spans="1:28" x14ac:dyDescent="0.2">
      <c r="A46" t="s">
        <v>47</v>
      </c>
      <c r="B46" s="1" t="s">
        <v>11</v>
      </c>
      <c r="C46">
        <f>VLOOKUP($B46,gdp_cont!$A$2:$I$21,2,FALSE)</f>
        <v>0.115</v>
      </c>
      <c r="D46">
        <f>VLOOKUP($B46,gdp_cont!$A$2:$I$21,3,FALSE)</f>
        <v>5.1999999999999998E-2</v>
      </c>
      <c r="E46">
        <f>VLOOKUP($B46,gdp_cont!$A$2:$I$21,4,FALSE)</f>
        <v>-0.105</v>
      </c>
      <c r="F46">
        <f>VLOOKUP($B46,gdp_cont!$A$2:$I$21,5,FALSE)</f>
        <v>0.105</v>
      </c>
      <c r="G46">
        <f>VLOOKUP($B46,gdp_cont!$A$2:$I$21,6,FALSE)</f>
        <v>9.2999999999999999E-2</v>
      </c>
      <c r="H46">
        <f>VLOOKUP($B46,gdp_cont!$A$2:$I$21,7,FALSE)</f>
        <v>-0.107</v>
      </c>
      <c r="I46">
        <f>VLOOKUP($B46,gdp_cont!$A$2:$I$21,8,FALSE)</f>
        <v>0.33200000000000002</v>
      </c>
      <c r="J46">
        <f>VLOOKUP($B46,gdp_cont!$A$2:$I$21,9,FALSE)</f>
        <v>-7.0000000000000007E-2</v>
      </c>
      <c r="L46" s="2">
        <f t="shared" si="18"/>
        <v>2.6136363636363636E-3</v>
      </c>
      <c r="M46" s="2">
        <f t="shared" si="19"/>
        <v>1.1818181818181817E-3</v>
      </c>
      <c r="N46" s="2">
        <f t="shared" si="20"/>
        <v>-2.3863636363636361E-3</v>
      </c>
      <c r="O46" s="2">
        <f t="shared" si="21"/>
        <v>2.3863636363636361E-3</v>
      </c>
      <c r="P46" s="2">
        <f t="shared" si="22"/>
        <v>2.1136363636363635E-3</v>
      </c>
      <c r="Q46" s="2">
        <f t="shared" si="23"/>
        <v>-2.4318181818181817E-3</v>
      </c>
      <c r="R46" s="2">
        <f t="shared" si="24"/>
        <v>7.5454545454545462E-3</v>
      </c>
      <c r="S46" s="2">
        <f t="shared" si="25"/>
        <v>-1.590909090909091E-3</v>
      </c>
      <c r="U46" s="2">
        <f t="shared" si="10"/>
        <v>2.6188741118600848E-3</v>
      </c>
      <c r="V46" s="2">
        <f t="shared" si="11"/>
        <v>1.1865644395764876E-3</v>
      </c>
      <c r="W46" s="2">
        <f t="shared" si="12"/>
        <v>-2.4129055979409861E-3</v>
      </c>
      <c r="X46" s="2">
        <f t="shared" si="13"/>
        <v>2.3792259584881725E-3</v>
      </c>
      <c r="Y46" s="2">
        <f t="shared" si="14"/>
        <v>2.0401895401895393E-3</v>
      </c>
      <c r="Z46" s="2">
        <f t="shared" si="15"/>
        <v>-2.3226534687852724E-3</v>
      </c>
      <c r="AA46" s="2">
        <f t="shared" si="16"/>
        <v>7.5379166288257211E-3</v>
      </c>
      <c r="AB46" s="2">
        <f t="shared" si="17"/>
        <v>-1.587733623661767E-3</v>
      </c>
    </row>
    <row r="47" spans="1:28" x14ac:dyDescent="0.2">
      <c r="A47" t="s">
        <v>48</v>
      </c>
      <c r="B47" s="1" t="s">
        <v>11</v>
      </c>
      <c r="C47">
        <f>VLOOKUP($B47,gdp_cont!$A$2:$I$21,2,FALSE)</f>
        <v>0.115</v>
      </c>
      <c r="D47">
        <f>VLOOKUP($B47,gdp_cont!$A$2:$I$21,3,FALSE)</f>
        <v>5.1999999999999998E-2</v>
      </c>
      <c r="E47">
        <f>VLOOKUP($B47,gdp_cont!$A$2:$I$21,4,FALSE)</f>
        <v>-0.105</v>
      </c>
      <c r="F47">
        <f>VLOOKUP($B47,gdp_cont!$A$2:$I$21,5,FALSE)</f>
        <v>0.105</v>
      </c>
      <c r="G47">
        <f>VLOOKUP($B47,gdp_cont!$A$2:$I$21,6,FALSE)</f>
        <v>9.2999999999999999E-2</v>
      </c>
      <c r="H47">
        <f>VLOOKUP($B47,gdp_cont!$A$2:$I$21,7,FALSE)</f>
        <v>-0.107</v>
      </c>
      <c r="I47">
        <f>VLOOKUP($B47,gdp_cont!$A$2:$I$21,8,FALSE)</f>
        <v>0.33200000000000002</v>
      </c>
      <c r="J47">
        <f>VLOOKUP($B47,gdp_cont!$A$2:$I$21,9,FALSE)</f>
        <v>-7.0000000000000007E-2</v>
      </c>
      <c r="L47" s="2">
        <f t="shared" si="18"/>
        <v>2.6136363636363636E-3</v>
      </c>
      <c r="M47" s="2">
        <f t="shared" si="19"/>
        <v>1.1818181818181817E-3</v>
      </c>
      <c r="N47" s="2">
        <f t="shared" si="20"/>
        <v>-2.3863636363636361E-3</v>
      </c>
      <c r="O47" s="2">
        <f t="shared" si="21"/>
        <v>2.3863636363636361E-3</v>
      </c>
      <c r="P47" s="2">
        <f t="shared" si="22"/>
        <v>2.1136363636363635E-3</v>
      </c>
      <c r="Q47" s="2">
        <f t="shared" si="23"/>
        <v>-2.4318181818181817E-3</v>
      </c>
      <c r="R47" s="2">
        <f t="shared" si="24"/>
        <v>7.5454545454545462E-3</v>
      </c>
      <c r="S47" s="2">
        <f t="shared" si="25"/>
        <v>-1.590909090909091E-3</v>
      </c>
      <c r="U47" s="2">
        <f t="shared" si="10"/>
        <v>2.6188741118600848E-3</v>
      </c>
      <c r="V47" s="2">
        <f t="shared" si="11"/>
        <v>1.1865644395764876E-3</v>
      </c>
      <c r="W47" s="2">
        <f t="shared" si="12"/>
        <v>-2.4129055979409861E-3</v>
      </c>
      <c r="X47" s="2">
        <f t="shared" si="13"/>
        <v>2.3792259584881725E-3</v>
      </c>
      <c r="Y47" s="2">
        <f t="shared" si="14"/>
        <v>2.0401895401895393E-3</v>
      </c>
      <c r="Z47" s="2">
        <f t="shared" si="15"/>
        <v>-2.3226534687852724E-3</v>
      </c>
      <c r="AA47" s="2">
        <f t="shared" si="16"/>
        <v>7.5379166288257211E-3</v>
      </c>
      <c r="AB47" s="2">
        <f t="shared" si="17"/>
        <v>-1.587733623661767E-3</v>
      </c>
    </row>
    <row r="48" spans="1:28" x14ac:dyDescent="0.2">
      <c r="A48" t="s">
        <v>49</v>
      </c>
      <c r="B48" s="1" t="s">
        <v>11</v>
      </c>
      <c r="C48">
        <f>VLOOKUP($B48,gdp_cont!$A$2:$I$21,2,FALSE)</f>
        <v>0.115</v>
      </c>
      <c r="D48">
        <f>VLOOKUP($B48,gdp_cont!$A$2:$I$21,3,FALSE)</f>
        <v>5.1999999999999998E-2</v>
      </c>
      <c r="E48">
        <f>VLOOKUP($B48,gdp_cont!$A$2:$I$21,4,FALSE)</f>
        <v>-0.105</v>
      </c>
      <c r="F48">
        <f>VLOOKUP($B48,gdp_cont!$A$2:$I$21,5,FALSE)</f>
        <v>0.105</v>
      </c>
      <c r="G48">
        <f>VLOOKUP($B48,gdp_cont!$A$2:$I$21,6,FALSE)</f>
        <v>9.2999999999999999E-2</v>
      </c>
      <c r="H48">
        <f>VLOOKUP($B48,gdp_cont!$A$2:$I$21,7,FALSE)</f>
        <v>-0.107</v>
      </c>
      <c r="I48">
        <f>VLOOKUP($B48,gdp_cont!$A$2:$I$21,8,FALSE)</f>
        <v>0.33200000000000002</v>
      </c>
      <c r="J48">
        <f>VLOOKUP($B48,gdp_cont!$A$2:$I$21,9,FALSE)</f>
        <v>-7.0000000000000007E-2</v>
      </c>
      <c r="L48" s="2">
        <f t="shared" si="18"/>
        <v>2.6136363636363636E-3</v>
      </c>
      <c r="M48" s="2">
        <f t="shared" si="19"/>
        <v>1.1818181818181817E-3</v>
      </c>
      <c r="N48" s="2">
        <f t="shared" si="20"/>
        <v>-2.3863636363636361E-3</v>
      </c>
      <c r="O48" s="2">
        <f t="shared" si="21"/>
        <v>2.3863636363636361E-3</v>
      </c>
      <c r="P48" s="2">
        <f t="shared" si="22"/>
        <v>2.1136363636363635E-3</v>
      </c>
      <c r="Q48" s="2">
        <f t="shared" si="23"/>
        <v>-2.4318181818181817E-3</v>
      </c>
      <c r="R48" s="2">
        <f t="shared" si="24"/>
        <v>7.5454545454545462E-3</v>
      </c>
      <c r="S48" s="2">
        <f t="shared" si="25"/>
        <v>-1.590909090909091E-3</v>
      </c>
      <c r="U48" s="2">
        <f t="shared" si="10"/>
        <v>2.6188741118600848E-3</v>
      </c>
      <c r="V48" s="2">
        <f t="shared" si="11"/>
        <v>1.1865644395764876E-3</v>
      </c>
      <c r="W48" s="2">
        <f t="shared" si="12"/>
        <v>-2.4129055979409861E-3</v>
      </c>
      <c r="X48" s="2">
        <f t="shared" si="13"/>
        <v>2.3792259584881725E-3</v>
      </c>
      <c r="Y48" s="2">
        <f t="shared" si="14"/>
        <v>2.0401895401895393E-3</v>
      </c>
      <c r="Z48" s="2">
        <f t="shared" si="15"/>
        <v>-2.3226534687852724E-3</v>
      </c>
      <c r="AA48" s="2">
        <f t="shared" si="16"/>
        <v>7.5379166288257211E-3</v>
      </c>
      <c r="AB48" s="2">
        <f t="shared" si="17"/>
        <v>-1.587733623661767E-3</v>
      </c>
    </row>
    <row r="49" spans="1:28" x14ac:dyDescent="0.2">
      <c r="A49" t="s">
        <v>50</v>
      </c>
      <c r="B49" s="1" t="s">
        <v>11</v>
      </c>
      <c r="C49">
        <f>VLOOKUP($B49,gdp_cont!$A$2:$I$21,2,FALSE)</f>
        <v>0.115</v>
      </c>
      <c r="D49">
        <f>VLOOKUP($B49,gdp_cont!$A$2:$I$21,3,FALSE)</f>
        <v>5.1999999999999998E-2</v>
      </c>
      <c r="E49">
        <f>VLOOKUP($B49,gdp_cont!$A$2:$I$21,4,FALSE)</f>
        <v>-0.105</v>
      </c>
      <c r="F49">
        <f>VLOOKUP($B49,gdp_cont!$A$2:$I$21,5,FALSE)</f>
        <v>0.105</v>
      </c>
      <c r="G49">
        <f>VLOOKUP($B49,gdp_cont!$A$2:$I$21,6,FALSE)</f>
        <v>9.2999999999999999E-2</v>
      </c>
      <c r="H49">
        <f>VLOOKUP($B49,gdp_cont!$A$2:$I$21,7,FALSE)</f>
        <v>-0.107</v>
      </c>
      <c r="I49">
        <f>VLOOKUP($B49,gdp_cont!$A$2:$I$21,8,FALSE)</f>
        <v>0.33200000000000002</v>
      </c>
      <c r="J49">
        <f>VLOOKUP($B49,gdp_cont!$A$2:$I$21,9,FALSE)</f>
        <v>-7.0000000000000007E-2</v>
      </c>
      <c r="L49" s="2">
        <f t="shared" si="18"/>
        <v>2.6136363636363636E-3</v>
      </c>
      <c r="M49" s="2">
        <f t="shared" si="19"/>
        <v>1.1818181818181817E-3</v>
      </c>
      <c r="N49" s="2">
        <f t="shared" si="20"/>
        <v>-2.3863636363636361E-3</v>
      </c>
      <c r="O49" s="2">
        <f t="shared" si="21"/>
        <v>2.3863636363636361E-3</v>
      </c>
      <c r="P49" s="2">
        <f t="shared" si="22"/>
        <v>2.1136363636363635E-3</v>
      </c>
      <c r="Q49" s="2">
        <f t="shared" si="23"/>
        <v>-2.4318181818181817E-3</v>
      </c>
      <c r="R49" s="2">
        <f t="shared" si="24"/>
        <v>7.5454545454545462E-3</v>
      </c>
      <c r="S49" s="2">
        <f t="shared" si="25"/>
        <v>-1.590909090909091E-3</v>
      </c>
      <c r="U49" s="2">
        <f t="shared" si="10"/>
        <v>2.6188741118600848E-3</v>
      </c>
      <c r="V49" s="2">
        <f t="shared" si="11"/>
        <v>1.1865644395764876E-3</v>
      </c>
      <c r="W49" s="2">
        <f t="shared" si="12"/>
        <v>-2.4129055979409861E-3</v>
      </c>
      <c r="X49" s="2">
        <f t="shared" si="13"/>
        <v>2.3792259584881725E-3</v>
      </c>
      <c r="Y49" s="2">
        <f t="shared" si="14"/>
        <v>2.0401895401895393E-3</v>
      </c>
      <c r="Z49" s="2">
        <f t="shared" si="15"/>
        <v>-2.3226534687852724E-3</v>
      </c>
      <c r="AA49" s="2">
        <f t="shared" si="16"/>
        <v>7.5379166288257211E-3</v>
      </c>
      <c r="AB49" s="2">
        <f t="shared" si="17"/>
        <v>-1.587733623661767E-3</v>
      </c>
    </row>
    <row r="50" spans="1:28" x14ac:dyDescent="0.2">
      <c r="A50" t="s">
        <v>51</v>
      </c>
      <c r="B50" s="1" t="s">
        <v>11</v>
      </c>
      <c r="C50">
        <f>VLOOKUP($B50,gdp_cont!$A$2:$I$21,2,FALSE)</f>
        <v>0.115</v>
      </c>
      <c r="D50">
        <f>VLOOKUP($B50,gdp_cont!$A$2:$I$21,3,FALSE)</f>
        <v>5.1999999999999998E-2</v>
      </c>
      <c r="E50">
        <f>VLOOKUP($B50,gdp_cont!$A$2:$I$21,4,FALSE)</f>
        <v>-0.105</v>
      </c>
      <c r="F50">
        <f>VLOOKUP($B50,gdp_cont!$A$2:$I$21,5,FALSE)</f>
        <v>0.105</v>
      </c>
      <c r="G50">
        <f>VLOOKUP($B50,gdp_cont!$A$2:$I$21,6,FALSE)</f>
        <v>9.2999999999999999E-2</v>
      </c>
      <c r="H50">
        <f>VLOOKUP($B50,gdp_cont!$A$2:$I$21,7,FALSE)</f>
        <v>-0.107</v>
      </c>
      <c r="I50">
        <f>VLOOKUP($B50,gdp_cont!$A$2:$I$21,8,FALSE)</f>
        <v>0.33200000000000002</v>
      </c>
      <c r="J50">
        <f>VLOOKUP($B50,gdp_cont!$A$2:$I$21,9,FALSE)</f>
        <v>-7.0000000000000007E-2</v>
      </c>
      <c r="L50" s="2">
        <f>C50/COUNTIFS($B$2:$B$113,$B50)</f>
        <v>2.6136363636363636E-3</v>
      </c>
      <c r="M50" s="2">
        <f t="shared" si="19"/>
        <v>1.1818181818181817E-3</v>
      </c>
      <c r="N50" s="2">
        <f t="shared" si="20"/>
        <v>-2.3863636363636361E-3</v>
      </c>
      <c r="O50" s="2">
        <f t="shared" si="21"/>
        <v>2.3863636363636361E-3</v>
      </c>
      <c r="P50" s="2">
        <f t="shared" si="22"/>
        <v>2.1136363636363635E-3</v>
      </c>
      <c r="Q50" s="2">
        <f t="shared" si="23"/>
        <v>-2.4318181818181817E-3</v>
      </c>
      <c r="R50" s="2">
        <f t="shared" si="24"/>
        <v>7.5454545454545462E-3</v>
      </c>
      <c r="S50" s="2">
        <f t="shared" si="25"/>
        <v>-1.590909090909091E-3</v>
      </c>
      <c r="U50" s="2">
        <f t="shared" si="10"/>
        <v>2.6188741118600848E-3</v>
      </c>
      <c r="V50" s="2">
        <f t="shared" si="11"/>
        <v>1.1865644395764876E-3</v>
      </c>
      <c r="W50" s="2">
        <f t="shared" si="12"/>
        <v>-2.4129055979409861E-3</v>
      </c>
      <c r="X50" s="2">
        <f t="shared" si="13"/>
        <v>2.3792259584881725E-3</v>
      </c>
      <c r="Y50" s="2">
        <f t="shared" si="14"/>
        <v>2.0401895401895393E-3</v>
      </c>
      <c r="Z50" s="2">
        <f t="shared" si="15"/>
        <v>-2.3226534687852724E-3</v>
      </c>
      <c r="AA50" s="2">
        <f t="shared" si="16"/>
        <v>7.5379166288257211E-3</v>
      </c>
      <c r="AB50" s="2">
        <f t="shared" si="17"/>
        <v>-1.587733623661767E-3</v>
      </c>
    </row>
    <row r="51" spans="1:28" x14ac:dyDescent="0.2">
      <c r="A51" t="s">
        <v>52</v>
      </c>
      <c r="B51" s="1" t="s">
        <v>11</v>
      </c>
      <c r="C51">
        <f>VLOOKUP($B51,gdp_cont!$A$2:$I$21,2,FALSE)</f>
        <v>0.115</v>
      </c>
      <c r="D51">
        <f>VLOOKUP($B51,gdp_cont!$A$2:$I$21,3,FALSE)</f>
        <v>5.1999999999999998E-2</v>
      </c>
      <c r="E51">
        <f>VLOOKUP($B51,gdp_cont!$A$2:$I$21,4,FALSE)</f>
        <v>-0.105</v>
      </c>
      <c r="F51">
        <f>VLOOKUP($B51,gdp_cont!$A$2:$I$21,5,FALSE)</f>
        <v>0.105</v>
      </c>
      <c r="G51">
        <f>VLOOKUP($B51,gdp_cont!$A$2:$I$21,6,FALSE)</f>
        <v>9.2999999999999999E-2</v>
      </c>
      <c r="H51">
        <f>VLOOKUP($B51,gdp_cont!$A$2:$I$21,7,FALSE)</f>
        <v>-0.107</v>
      </c>
      <c r="I51">
        <f>VLOOKUP($B51,gdp_cont!$A$2:$I$21,8,FALSE)</f>
        <v>0.33200000000000002</v>
      </c>
      <c r="J51">
        <f>VLOOKUP($B51,gdp_cont!$A$2:$I$21,9,FALSE)</f>
        <v>-7.0000000000000007E-2</v>
      </c>
      <c r="L51" s="2">
        <f t="shared" ref="L51:L74" si="26">C51/COUNTIFS($B$2:$B$113,$B51)</f>
        <v>2.6136363636363636E-3</v>
      </c>
      <c r="M51" s="2">
        <f t="shared" si="19"/>
        <v>1.1818181818181817E-3</v>
      </c>
      <c r="N51" s="2">
        <f t="shared" si="20"/>
        <v>-2.3863636363636361E-3</v>
      </c>
      <c r="O51" s="2">
        <f t="shared" si="21"/>
        <v>2.3863636363636361E-3</v>
      </c>
      <c r="P51" s="2">
        <f t="shared" si="22"/>
        <v>2.1136363636363635E-3</v>
      </c>
      <c r="Q51" s="2">
        <f t="shared" si="23"/>
        <v>-2.4318181818181817E-3</v>
      </c>
      <c r="R51" s="2">
        <f t="shared" si="24"/>
        <v>7.5454545454545462E-3</v>
      </c>
      <c r="S51" s="2">
        <f t="shared" si="25"/>
        <v>-1.590909090909091E-3</v>
      </c>
      <c r="U51" s="2">
        <f t="shared" si="10"/>
        <v>2.6188741118600848E-3</v>
      </c>
      <c r="V51" s="2">
        <f t="shared" si="11"/>
        <v>1.1865644395764876E-3</v>
      </c>
      <c r="W51" s="2">
        <f t="shared" si="12"/>
        <v>-2.4129055979409861E-3</v>
      </c>
      <c r="X51" s="2">
        <f t="shared" si="13"/>
        <v>2.3792259584881725E-3</v>
      </c>
      <c r="Y51" s="2">
        <f t="shared" si="14"/>
        <v>2.0401895401895393E-3</v>
      </c>
      <c r="Z51" s="2">
        <f t="shared" si="15"/>
        <v>-2.3226534687852724E-3</v>
      </c>
      <c r="AA51" s="2">
        <f t="shared" si="16"/>
        <v>7.5379166288257211E-3</v>
      </c>
      <c r="AB51" s="2">
        <f t="shared" si="17"/>
        <v>-1.587733623661767E-3</v>
      </c>
    </row>
    <row r="52" spans="1:28" x14ac:dyDescent="0.2">
      <c r="A52" t="s">
        <v>53</v>
      </c>
      <c r="B52" s="1" t="s">
        <v>11</v>
      </c>
      <c r="C52">
        <f>VLOOKUP($B52,gdp_cont!$A$2:$I$21,2,FALSE)</f>
        <v>0.115</v>
      </c>
      <c r="D52">
        <f>VLOOKUP($B52,gdp_cont!$A$2:$I$21,3,FALSE)</f>
        <v>5.1999999999999998E-2</v>
      </c>
      <c r="E52">
        <f>VLOOKUP($B52,gdp_cont!$A$2:$I$21,4,FALSE)</f>
        <v>-0.105</v>
      </c>
      <c r="F52">
        <f>VLOOKUP($B52,gdp_cont!$A$2:$I$21,5,FALSE)</f>
        <v>0.105</v>
      </c>
      <c r="G52">
        <f>VLOOKUP($B52,gdp_cont!$A$2:$I$21,6,FALSE)</f>
        <v>9.2999999999999999E-2</v>
      </c>
      <c r="H52">
        <f>VLOOKUP($B52,gdp_cont!$A$2:$I$21,7,FALSE)</f>
        <v>-0.107</v>
      </c>
      <c r="I52">
        <f>VLOOKUP($B52,gdp_cont!$A$2:$I$21,8,FALSE)</f>
        <v>0.33200000000000002</v>
      </c>
      <c r="J52">
        <f>VLOOKUP($B52,gdp_cont!$A$2:$I$21,9,FALSE)</f>
        <v>-7.0000000000000007E-2</v>
      </c>
      <c r="L52" s="2">
        <f t="shared" si="26"/>
        <v>2.6136363636363636E-3</v>
      </c>
      <c r="M52" s="2">
        <f t="shared" si="19"/>
        <v>1.1818181818181817E-3</v>
      </c>
      <c r="N52" s="2">
        <f t="shared" si="20"/>
        <v>-2.3863636363636361E-3</v>
      </c>
      <c r="O52" s="2">
        <f t="shared" si="21"/>
        <v>2.3863636363636361E-3</v>
      </c>
      <c r="P52" s="2">
        <f t="shared" si="22"/>
        <v>2.1136363636363635E-3</v>
      </c>
      <c r="Q52" s="2">
        <f t="shared" si="23"/>
        <v>-2.4318181818181817E-3</v>
      </c>
      <c r="R52" s="2">
        <f t="shared" si="24"/>
        <v>7.5454545454545462E-3</v>
      </c>
      <c r="S52" s="2">
        <f t="shared" si="25"/>
        <v>-1.590909090909091E-3</v>
      </c>
      <c r="U52" s="2">
        <f t="shared" si="10"/>
        <v>2.6188741118600848E-3</v>
      </c>
      <c r="V52" s="2">
        <f t="shared" si="11"/>
        <v>1.1865644395764876E-3</v>
      </c>
      <c r="W52" s="2">
        <f t="shared" si="12"/>
        <v>-2.4129055979409861E-3</v>
      </c>
      <c r="X52" s="2">
        <f t="shared" si="13"/>
        <v>2.3792259584881725E-3</v>
      </c>
      <c r="Y52" s="2">
        <f t="shared" si="14"/>
        <v>2.0401895401895393E-3</v>
      </c>
      <c r="Z52" s="2">
        <f t="shared" si="15"/>
        <v>-2.3226534687852724E-3</v>
      </c>
      <c r="AA52" s="2">
        <f t="shared" si="16"/>
        <v>7.5379166288257211E-3</v>
      </c>
      <c r="AB52" s="2">
        <f t="shared" si="17"/>
        <v>-1.587733623661767E-3</v>
      </c>
    </row>
    <row r="53" spans="1:28" x14ac:dyDescent="0.2">
      <c r="A53" t="s">
        <v>54</v>
      </c>
      <c r="B53" s="1" t="s">
        <v>11</v>
      </c>
      <c r="C53">
        <f>VLOOKUP($B53,gdp_cont!$A$2:$I$21,2,FALSE)</f>
        <v>0.115</v>
      </c>
      <c r="D53">
        <f>VLOOKUP($B53,gdp_cont!$A$2:$I$21,3,FALSE)</f>
        <v>5.1999999999999998E-2</v>
      </c>
      <c r="E53">
        <f>VLOOKUP($B53,gdp_cont!$A$2:$I$21,4,FALSE)</f>
        <v>-0.105</v>
      </c>
      <c r="F53">
        <f>VLOOKUP($B53,gdp_cont!$A$2:$I$21,5,FALSE)</f>
        <v>0.105</v>
      </c>
      <c r="G53">
        <f>VLOOKUP($B53,gdp_cont!$A$2:$I$21,6,FALSE)</f>
        <v>9.2999999999999999E-2</v>
      </c>
      <c r="H53">
        <f>VLOOKUP($B53,gdp_cont!$A$2:$I$21,7,FALSE)</f>
        <v>-0.107</v>
      </c>
      <c r="I53">
        <f>VLOOKUP($B53,gdp_cont!$A$2:$I$21,8,FALSE)</f>
        <v>0.33200000000000002</v>
      </c>
      <c r="J53">
        <f>VLOOKUP($B53,gdp_cont!$A$2:$I$21,9,FALSE)</f>
        <v>-7.0000000000000007E-2</v>
      </c>
      <c r="L53" s="2">
        <f t="shared" si="26"/>
        <v>2.6136363636363636E-3</v>
      </c>
      <c r="M53" s="2">
        <f t="shared" si="19"/>
        <v>1.1818181818181817E-3</v>
      </c>
      <c r="N53" s="2">
        <f t="shared" si="20"/>
        <v>-2.3863636363636361E-3</v>
      </c>
      <c r="O53" s="2">
        <f t="shared" si="21"/>
        <v>2.3863636363636361E-3</v>
      </c>
      <c r="P53" s="2">
        <f t="shared" si="22"/>
        <v>2.1136363636363635E-3</v>
      </c>
      <c r="Q53" s="2">
        <f t="shared" si="23"/>
        <v>-2.4318181818181817E-3</v>
      </c>
      <c r="R53" s="2">
        <f t="shared" si="24"/>
        <v>7.5454545454545462E-3</v>
      </c>
      <c r="S53" s="2">
        <f t="shared" si="25"/>
        <v>-1.590909090909091E-3</v>
      </c>
      <c r="U53" s="2">
        <f t="shared" si="10"/>
        <v>2.6188741118600848E-3</v>
      </c>
      <c r="V53" s="2">
        <f t="shared" si="11"/>
        <v>1.1865644395764876E-3</v>
      </c>
      <c r="W53" s="2">
        <f t="shared" si="12"/>
        <v>-2.4129055979409861E-3</v>
      </c>
      <c r="X53" s="2">
        <f t="shared" si="13"/>
        <v>2.3792259584881725E-3</v>
      </c>
      <c r="Y53" s="2">
        <f t="shared" si="14"/>
        <v>2.0401895401895393E-3</v>
      </c>
      <c r="Z53" s="2">
        <f t="shared" si="15"/>
        <v>-2.3226534687852724E-3</v>
      </c>
      <c r="AA53" s="2">
        <f t="shared" si="16"/>
        <v>7.5379166288257211E-3</v>
      </c>
      <c r="AB53" s="2">
        <f t="shared" si="17"/>
        <v>-1.587733623661767E-3</v>
      </c>
    </row>
    <row r="54" spans="1:28" x14ac:dyDescent="0.2">
      <c r="A54" t="s">
        <v>55</v>
      </c>
      <c r="B54" s="1" t="s">
        <v>56</v>
      </c>
      <c r="C54">
        <f>VLOOKUP($B54,gdp_cont!$A$2:$I$21,2,FALSE)</f>
        <v>-1.2999999999999999E-2</v>
      </c>
      <c r="D54">
        <f>VLOOKUP($B54,gdp_cont!$A$2:$I$21,3,FALSE)</f>
        <v>-1.4999999999999999E-2</v>
      </c>
      <c r="E54">
        <f>VLOOKUP($B54,gdp_cont!$A$2:$I$21,4,FALSE)</f>
        <v>-3.2000000000000001E-2</v>
      </c>
      <c r="F54">
        <f>VLOOKUP($B54,gdp_cont!$A$2:$I$21,5,FALSE)</f>
        <v>7.0000000000000001E-3</v>
      </c>
      <c r="G54">
        <f>VLOOKUP($B54,gdp_cont!$A$2:$I$21,6,FALSE)</f>
        <v>5.0000000000000001E-3</v>
      </c>
      <c r="H54">
        <f>VLOOKUP($B54,gdp_cont!$A$2:$I$21,7,FALSE)</f>
        <v>-1.4E-2</v>
      </c>
      <c r="I54">
        <f>VLOOKUP($B54,gdp_cont!$A$2:$I$21,8,FALSE)</f>
        <v>-4.3999999999999997E-2</v>
      </c>
      <c r="J54">
        <f>VLOOKUP($B54,gdp_cont!$A$2:$I$21,9,FALSE)</f>
        <v>-2.5000000000000001E-2</v>
      </c>
      <c r="L54" s="2">
        <f t="shared" si="26"/>
        <v>-6.4999999999999997E-3</v>
      </c>
      <c r="M54" s="2">
        <f t="shared" si="19"/>
        <v>-7.4999999999999997E-3</v>
      </c>
      <c r="N54" s="2">
        <f t="shared" si="20"/>
        <v>-1.6E-2</v>
      </c>
      <c r="O54" s="2">
        <f t="shared" si="21"/>
        <v>3.5000000000000001E-3</v>
      </c>
      <c r="P54" s="2">
        <f t="shared" si="22"/>
        <v>2.5000000000000001E-3</v>
      </c>
      <c r="Q54" s="2">
        <f t="shared" si="23"/>
        <v>-7.0000000000000001E-3</v>
      </c>
      <c r="R54" s="2">
        <f t="shared" si="24"/>
        <v>-2.1999999999999999E-2</v>
      </c>
      <c r="S54" s="2">
        <f t="shared" si="25"/>
        <v>-1.2500000000000001E-2</v>
      </c>
      <c r="U54" s="2">
        <f t="shared" si="10"/>
        <v>-6.5130260521042115E-3</v>
      </c>
      <c r="V54" s="2">
        <f t="shared" si="11"/>
        <v>-7.5301204819277108E-3</v>
      </c>
      <c r="W54" s="2">
        <f t="shared" si="12"/>
        <v>-1.617795753286147E-2</v>
      </c>
      <c r="X54" s="2">
        <f t="shared" si="13"/>
        <v>3.4895314057826533E-3</v>
      </c>
      <c r="Y54" s="2">
        <f t="shared" si="14"/>
        <v>2.4131274131274122E-3</v>
      </c>
      <c r="Z54" s="2">
        <f t="shared" si="15"/>
        <v>-6.68576886341929E-3</v>
      </c>
      <c r="AA54" s="2">
        <f t="shared" si="16"/>
        <v>-2.197802197802198E-2</v>
      </c>
      <c r="AB54" s="2">
        <f t="shared" si="17"/>
        <v>-1.2475049900199599E-2</v>
      </c>
    </row>
    <row r="55" spans="1:28" x14ac:dyDescent="0.2">
      <c r="A55" t="s">
        <v>57</v>
      </c>
      <c r="B55" s="1" t="s">
        <v>56</v>
      </c>
      <c r="C55">
        <f>VLOOKUP($B55,gdp_cont!$A$2:$I$21,2,FALSE)</f>
        <v>-1.2999999999999999E-2</v>
      </c>
      <c r="D55">
        <f>VLOOKUP($B55,gdp_cont!$A$2:$I$21,3,FALSE)</f>
        <v>-1.4999999999999999E-2</v>
      </c>
      <c r="E55">
        <f>VLOOKUP($B55,gdp_cont!$A$2:$I$21,4,FALSE)</f>
        <v>-3.2000000000000001E-2</v>
      </c>
      <c r="F55">
        <f>VLOOKUP($B55,gdp_cont!$A$2:$I$21,5,FALSE)</f>
        <v>7.0000000000000001E-3</v>
      </c>
      <c r="G55">
        <f>VLOOKUP($B55,gdp_cont!$A$2:$I$21,6,FALSE)</f>
        <v>5.0000000000000001E-3</v>
      </c>
      <c r="H55">
        <f>VLOOKUP($B55,gdp_cont!$A$2:$I$21,7,FALSE)</f>
        <v>-1.4E-2</v>
      </c>
      <c r="I55">
        <f>VLOOKUP($B55,gdp_cont!$A$2:$I$21,8,FALSE)</f>
        <v>-4.3999999999999997E-2</v>
      </c>
      <c r="J55">
        <f>VLOOKUP($B55,gdp_cont!$A$2:$I$21,9,FALSE)</f>
        <v>-2.5000000000000001E-2</v>
      </c>
      <c r="L55" s="2">
        <f t="shared" si="26"/>
        <v>-6.4999999999999997E-3</v>
      </c>
      <c r="M55" s="2">
        <f t="shared" si="19"/>
        <v>-7.4999999999999997E-3</v>
      </c>
      <c r="N55" s="2">
        <f t="shared" si="20"/>
        <v>-1.6E-2</v>
      </c>
      <c r="O55" s="2">
        <f t="shared" si="21"/>
        <v>3.5000000000000001E-3</v>
      </c>
      <c r="P55" s="2">
        <f t="shared" si="22"/>
        <v>2.5000000000000001E-3</v>
      </c>
      <c r="Q55" s="2">
        <f t="shared" si="23"/>
        <v>-7.0000000000000001E-3</v>
      </c>
      <c r="R55" s="2">
        <f t="shared" si="24"/>
        <v>-2.1999999999999999E-2</v>
      </c>
      <c r="S55" s="2">
        <f t="shared" si="25"/>
        <v>-1.2500000000000001E-2</v>
      </c>
      <c r="U55" s="2">
        <f t="shared" si="10"/>
        <v>-6.5130260521042115E-3</v>
      </c>
      <c r="V55" s="2">
        <f t="shared" si="11"/>
        <v>-7.5301204819277108E-3</v>
      </c>
      <c r="W55" s="2">
        <f t="shared" si="12"/>
        <v>-1.617795753286147E-2</v>
      </c>
      <c r="X55" s="2">
        <f t="shared" si="13"/>
        <v>3.4895314057826533E-3</v>
      </c>
      <c r="Y55" s="2">
        <f t="shared" si="14"/>
        <v>2.4131274131274122E-3</v>
      </c>
      <c r="Z55" s="2">
        <f t="shared" si="15"/>
        <v>-6.68576886341929E-3</v>
      </c>
      <c r="AA55" s="2">
        <f t="shared" si="16"/>
        <v>-2.197802197802198E-2</v>
      </c>
      <c r="AB55" s="2">
        <f t="shared" si="17"/>
        <v>-1.2475049900199599E-2</v>
      </c>
    </row>
    <row r="56" spans="1:28" x14ac:dyDescent="0.2">
      <c r="A56" t="s">
        <v>58</v>
      </c>
      <c r="B56" s="1" t="s">
        <v>59</v>
      </c>
      <c r="C56">
        <f>VLOOKUP($B56,gdp_cont!$A$2:$I$21,2,FALSE)</f>
        <v>1.2999999999999999E-2</v>
      </c>
      <c r="D56">
        <f>VLOOKUP($B56,gdp_cont!$A$2:$I$21,3,FALSE)</f>
        <v>3.0000000000000001E-3</v>
      </c>
      <c r="E56">
        <f>VLOOKUP($B56,gdp_cont!$A$2:$I$21,4,FALSE)</f>
        <v>1.2999999999999999E-2</v>
      </c>
      <c r="F56">
        <f>VLOOKUP($B56,gdp_cont!$A$2:$I$21,5,FALSE)</f>
        <v>2E-3</v>
      </c>
      <c r="G56">
        <f>VLOOKUP($B56,gdp_cont!$A$2:$I$21,6,FALSE)</f>
        <v>8.0000000000000002E-3</v>
      </c>
      <c r="H56">
        <f>VLOOKUP($B56,gdp_cont!$A$2:$I$21,7,FALSE)</f>
        <v>6.0000000000000001E-3</v>
      </c>
      <c r="I56">
        <f>VLOOKUP($B56,gdp_cont!$A$2:$I$21,8,FALSE)</f>
        <v>-9.1999999999999998E-2</v>
      </c>
      <c r="J56">
        <f>VLOOKUP($B56,gdp_cont!$A$2:$I$21,9,FALSE)</f>
        <v>-3.4000000000000002E-2</v>
      </c>
      <c r="L56" s="2">
        <f t="shared" si="26"/>
        <v>3.2499999999999999E-3</v>
      </c>
      <c r="M56" s="2">
        <f t="shared" si="19"/>
        <v>7.5000000000000002E-4</v>
      </c>
      <c r="N56" s="2">
        <f t="shared" si="20"/>
        <v>3.2499999999999999E-3</v>
      </c>
      <c r="O56" s="2">
        <f t="shared" si="21"/>
        <v>5.0000000000000001E-4</v>
      </c>
      <c r="P56" s="2">
        <f t="shared" si="22"/>
        <v>2E-3</v>
      </c>
      <c r="Q56" s="2">
        <f t="shared" si="23"/>
        <v>1.5E-3</v>
      </c>
      <c r="R56" s="2">
        <f t="shared" si="24"/>
        <v>-2.3E-2</v>
      </c>
      <c r="S56" s="2">
        <f t="shared" si="25"/>
        <v>-8.5000000000000006E-3</v>
      </c>
      <c r="U56" s="2">
        <f t="shared" si="10"/>
        <v>3.2565130260521057E-3</v>
      </c>
      <c r="V56" s="2">
        <f t="shared" si="11"/>
        <v>7.5301204819277112E-4</v>
      </c>
      <c r="W56" s="2">
        <f t="shared" si="12"/>
        <v>3.2861476238624861E-3</v>
      </c>
      <c r="X56" s="2">
        <f t="shared" si="13"/>
        <v>4.9850448654037904E-4</v>
      </c>
      <c r="Y56" s="2">
        <f t="shared" si="14"/>
        <v>1.9305019305019297E-3</v>
      </c>
      <c r="Z56" s="2">
        <f t="shared" si="15"/>
        <v>1.4326647564469907E-3</v>
      </c>
      <c r="AA56" s="2">
        <f t="shared" si="16"/>
        <v>-2.297702297702298E-2</v>
      </c>
      <c r="AB56" s="2">
        <f t="shared" si="17"/>
        <v>-8.4830339321357272E-3</v>
      </c>
    </row>
    <row r="57" spans="1:28" x14ac:dyDescent="0.2">
      <c r="A57" t="s">
        <v>60</v>
      </c>
      <c r="B57" s="1" t="s">
        <v>59</v>
      </c>
      <c r="C57">
        <f>VLOOKUP($B57,gdp_cont!$A$2:$I$21,2,FALSE)</f>
        <v>1.2999999999999999E-2</v>
      </c>
      <c r="D57">
        <f>VLOOKUP($B57,gdp_cont!$A$2:$I$21,3,FALSE)</f>
        <v>3.0000000000000001E-3</v>
      </c>
      <c r="E57">
        <f>VLOOKUP($B57,gdp_cont!$A$2:$I$21,4,FALSE)</f>
        <v>1.2999999999999999E-2</v>
      </c>
      <c r="F57">
        <f>VLOOKUP($B57,gdp_cont!$A$2:$I$21,5,FALSE)</f>
        <v>2E-3</v>
      </c>
      <c r="G57">
        <f>VLOOKUP($B57,gdp_cont!$A$2:$I$21,6,FALSE)</f>
        <v>8.0000000000000002E-3</v>
      </c>
      <c r="H57">
        <f>VLOOKUP($B57,gdp_cont!$A$2:$I$21,7,FALSE)</f>
        <v>6.0000000000000001E-3</v>
      </c>
      <c r="I57">
        <f>VLOOKUP($B57,gdp_cont!$A$2:$I$21,8,FALSE)</f>
        <v>-9.1999999999999998E-2</v>
      </c>
      <c r="J57">
        <f>VLOOKUP($B57,gdp_cont!$A$2:$I$21,9,FALSE)</f>
        <v>-3.4000000000000002E-2</v>
      </c>
      <c r="L57" s="2">
        <f t="shared" si="26"/>
        <v>3.2499999999999999E-3</v>
      </c>
      <c r="M57" s="2">
        <f t="shared" si="19"/>
        <v>7.5000000000000002E-4</v>
      </c>
      <c r="N57" s="2">
        <f t="shared" si="20"/>
        <v>3.2499999999999999E-3</v>
      </c>
      <c r="O57" s="2">
        <f t="shared" si="21"/>
        <v>5.0000000000000001E-4</v>
      </c>
      <c r="P57" s="2">
        <f t="shared" si="22"/>
        <v>2E-3</v>
      </c>
      <c r="Q57" s="2">
        <f t="shared" si="23"/>
        <v>1.5E-3</v>
      </c>
      <c r="R57" s="2">
        <f t="shared" si="24"/>
        <v>-2.3E-2</v>
      </c>
      <c r="S57" s="2">
        <f t="shared" si="25"/>
        <v>-8.5000000000000006E-3</v>
      </c>
      <c r="U57" s="2">
        <f t="shared" si="10"/>
        <v>3.2565130260521057E-3</v>
      </c>
      <c r="V57" s="2">
        <f t="shared" si="11"/>
        <v>7.5301204819277112E-4</v>
      </c>
      <c r="W57" s="2">
        <f t="shared" si="12"/>
        <v>3.2861476238624861E-3</v>
      </c>
      <c r="X57" s="2">
        <f t="shared" si="13"/>
        <v>4.9850448654037904E-4</v>
      </c>
      <c r="Y57" s="2">
        <f t="shared" si="14"/>
        <v>1.9305019305019297E-3</v>
      </c>
      <c r="Z57" s="2">
        <f t="shared" si="15"/>
        <v>1.4326647564469907E-3</v>
      </c>
      <c r="AA57" s="2">
        <f t="shared" si="16"/>
        <v>-2.297702297702298E-2</v>
      </c>
      <c r="AB57" s="2">
        <f t="shared" si="17"/>
        <v>-8.4830339321357272E-3</v>
      </c>
    </row>
    <row r="58" spans="1:28" x14ac:dyDescent="0.2">
      <c r="A58" t="s">
        <v>61</v>
      </c>
      <c r="B58" s="1" t="s">
        <v>59</v>
      </c>
      <c r="C58">
        <f>VLOOKUP($B58,gdp_cont!$A$2:$I$21,2,FALSE)</f>
        <v>1.2999999999999999E-2</v>
      </c>
      <c r="D58">
        <f>VLOOKUP($B58,gdp_cont!$A$2:$I$21,3,FALSE)</f>
        <v>3.0000000000000001E-3</v>
      </c>
      <c r="E58">
        <f>VLOOKUP($B58,gdp_cont!$A$2:$I$21,4,FALSE)</f>
        <v>1.2999999999999999E-2</v>
      </c>
      <c r="F58">
        <f>VLOOKUP($B58,gdp_cont!$A$2:$I$21,5,FALSE)</f>
        <v>2E-3</v>
      </c>
      <c r="G58">
        <f>VLOOKUP($B58,gdp_cont!$A$2:$I$21,6,FALSE)</f>
        <v>8.0000000000000002E-3</v>
      </c>
      <c r="H58">
        <f>VLOOKUP($B58,gdp_cont!$A$2:$I$21,7,FALSE)</f>
        <v>6.0000000000000001E-3</v>
      </c>
      <c r="I58">
        <f>VLOOKUP($B58,gdp_cont!$A$2:$I$21,8,FALSE)</f>
        <v>-9.1999999999999998E-2</v>
      </c>
      <c r="J58">
        <f>VLOOKUP($B58,gdp_cont!$A$2:$I$21,9,FALSE)</f>
        <v>-3.4000000000000002E-2</v>
      </c>
      <c r="L58" s="2">
        <f t="shared" si="26"/>
        <v>3.2499999999999999E-3</v>
      </c>
      <c r="M58" s="2">
        <f t="shared" si="19"/>
        <v>7.5000000000000002E-4</v>
      </c>
      <c r="N58" s="2">
        <f t="shared" si="20"/>
        <v>3.2499999999999999E-3</v>
      </c>
      <c r="O58" s="2">
        <f t="shared" si="21"/>
        <v>5.0000000000000001E-4</v>
      </c>
      <c r="P58" s="2">
        <f t="shared" si="22"/>
        <v>2E-3</v>
      </c>
      <c r="Q58" s="2">
        <f t="shared" si="23"/>
        <v>1.5E-3</v>
      </c>
      <c r="R58" s="2">
        <f t="shared" si="24"/>
        <v>-2.3E-2</v>
      </c>
      <c r="S58" s="2">
        <f t="shared" si="25"/>
        <v>-8.5000000000000006E-3</v>
      </c>
      <c r="U58" s="2">
        <f t="shared" si="10"/>
        <v>3.2565130260521057E-3</v>
      </c>
      <c r="V58" s="2">
        <f t="shared" si="11"/>
        <v>7.5301204819277112E-4</v>
      </c>
      <c r="W58" s="2">
        <f t="shared" si="12"/>
        <v>3.2861476238624861E-3</v>
      </c>
      <c r="X58" s="2">
        <f t="shared" si="13"/>
        <v>4.9850448654037904E-4</v>
      </c>
      <c r="Y58" s="2">
        <f t="shared" si="14"/>
        <v>1.9305019305019297E-3</v>
      </c>
      <c r="Z58" s="2">
        <f t="shared" si="15"/>
        <v>1.4326647564469907E-3</v>
      </c>
      <c r="AA58" s="2">
        <f t="shared" si="16"/>
        <v>-2.297702297702298E-2</v>
      </c>
      <c r="AB58" s="2">
        <f t="shared" si="17"/>
        <v>-8.4830339321357272E-3</v>
      </c>
    </row>
    <row r="59" spans="1:28" x14ac:dyDescent="0.2">
      <c r="A59" t="s">
        <v>62</v>
      </c>
      <c r="B59" s="1" t="s">
        <v>59</v>
      </c>
      <c r="C59">
        <f>VLOOKUP($B59,gdp_cont!$A$2:$I$21,2,FALSE)</f>
        <v>1.2999999999999999E-2</v>
      </c>
      <c r="D59">
        <f>VLOOKUP($B59,gdp_cont!$A$2:$I$21,3,FALSE)</f>
        <v>3.0000000000000001E-3</v>
      </c>
      <c r="E59">
        <f>VLOOKUP($B59,gdp_cont!$A$2:$I$21,4,FALSE)</f>
        <v>1.2999999999999999E-2</v>
      </c>
      <c r="F59">
        <f>VLOOKUP($B59,gdp_cont!$A$2:$I$21,5,FALSE)</f>
        <v>2E-3</v>
      </c>
      <c r="G59">
        <f>VLOOKUP($B59,gdp_cont!$A$2:$I$21,6,FALSE)</f>
        <v>8.0000000000000002E-3</v>
      </c>
      <c r="H59">
        <f>VLOOKUP($B59,gdp_cont!$A$2:$I$21,7,FALSE)</f>
        <v>6.0000000000000001E-3</v>
      </c>
      <c r="I59">
        <f>VLOOKUP($B59,gdp_cont!$A$2:$I$21,8,FALSE)</f>
        <v>-9.1999999999999998E-2</v>
      </c>
      <c r="J59">
        <f>VLOOKUP($B59,gdp_cont!$A$2:$I$21,9,FALSE)</f>
        <v>-3.4000000000000002E-2</v>
      </c>
      <c r="L59" s="2">
        <f t="shared" si="26"/>
        <v>3.2499999999999999E-3</v>
      </c>
      <c r="M59" s="2">
        <f t="shared" si="19"/>
        <v>7.5000000000000002E-4</v>
      </c>
      <c r="N59" s="2">
        <f t="shared" si="20"/>
        <v>3.2499999999999999E-3</v>
      </c>
      <c r="O59" s="2">
        <f t="shared" si="21"/>
        <v>5.0000000000000001E-4</v>
      </c>
      <c r="P59" s="2">
        <f t="shared" si="22"/>
        <v>2E-3</v>
      </c>
      <c r="Q59" s="2">
        <f t="shared" si="23"/>
        <v>1.5E-3</v>
      </c>
      <c r="R59" s="2">
        <f t="shared" si="24"/>
        <v>-2.3E-2</v>
      </c>
      <c r="S59" s="2">
        <f t="shared" si="25"/>
        <v>-8.5000000000000006E-3</v>
      </c>
      <c r="U59" s="2">
        <f t="shared" si="10"/>
        <v>3.2565130260521057E-3</v>
      </c>
      <c r="V59" s="2">
        <f t="shared" si="11"/>
        <v>7.5301204819277112E-4</v>
      </c>
      <c r="W59" s="2">
        <f t="shared" si="12"/>
        <v>3.2861476238624861E-3</v>
      </c>
      <c r="X59" s="2">
        <f t="shared" si="13"/>
        <v>4.9850448654037904E-4</v>
      </c>
      <c r="Y59" s="2">
        <f t="shared" si="14"/>
        <v>1.9305019305019297E-3</v>
      </c>
      <c r="Z59" s="2">
        <f t="shared" si="15"/>
        <v>1.4326647564469907E-3</v>
      </c>
      <c r="AA59" s="2">
        <f t="shared" si="16"/>
        <v>-2.297702297702298E-2</v>
      </c>
      <c r="AB59" s="2">
        <f t="shared" si="17"/>
        <v>-8.4830339321357272E-3</v>
      </c>
    </row>
    <row r="60" spans="1:28" x14ac:dyDescent="0.2">
      <c r="A60" t="s">
        <v>63</v>
      </c>
      <c r="B60" s="1" t="s">
        <v>64</v>
      </c>
      <c r="C60">
        <f>VLOOKUP($B60,gdp_cont!$A$2:$I$21,2,FALSE)</f>
        <v>0.187</v>
      </c>
      <c r="D60">
        <f>VLOOKUP($B60,gdp_cont!$A$2:$I$21,3,FALSE)</f>
        <v>0</v>
      </c>
      <c r="E60">
        <f>VLOOKUP($B60,gdp_cont!$A$2:$I$21,4,FALSE)</f>
        <v>0.109</v>
      </c>
      <c r="F60">
        <f>VLOOKUP($B60,gdp_cont!$A$2:$I$21,5,FALSE)</f>
        <v>0.09</v>
      </c>
      <c r="G60">
        <f>VLOOKUP($B60,gdp_cont!$A$2:$I$21,6,FALSE)</f>
        <v>0.10199999999999999</v>
      </c>
      <c r="H60">
        <f>VLOOKUP($B60,gdp_cont!$A$2:$I$21,7,FALSE)</f>
        <v>7.8E-2</v>
      </c>
      <c r="I60">
        <f>VLOOKUP($B60,gdp_cont!$A$2:$I$21,8,FALSE)</f>
        <v>0.33900000000000002</v>
      </c>
      <c r="J60">
        <f>VLOOKUP($B60,gdp_cont!$A$2:$I$21,9,FALSE)</f>
        <v>2.9000000000000001E-2</v>
      </c>
      <c r="L60" s="2">
        <f t="shared" si="26"/>
        <v>6.2333333333333331E-2</v>
      </c>
      <c r="M60" s="2">
        <f t="shared" si="19"/>
        <v>0</v>
      </c>
      <c r="N60" s="2">
        <f t="shared" si="20"/>
        <v>3.6333333333333336E-2</v>
      </c>
      <c r="O60" s="2">
        <f t="shared" si="21"/>
        <v>0.03</v>
      </c>
      <c r="P60" s="2">
        <f t="shared" si="22"/>
        <v>3.3999999999999996E-2</v>
      </c>
      <c r="Q60" s="2">
        <f t="shared" si="23"/>
        <v>2.5999999999999999E-2</v>
      </c>
      <c r="R60" s="2">
        <f t="shared" si="24"/>
        <v>0.113</v>
      </c>
      <c r="S60" s="2">
        <f t="shared" si="25"/>
        <v>9.6666666666666672E-3</v>
      </c>
      <c r="U60" s="2">
        <f t="shared" si="10"/>
        <v>6.2458249832999357E-2</v>
      </c>
      <c r="V60" s="2">
        <f t="shared" si="11"/>
        <v>0</v>
      </c>
      <c r="W60" s="2">
        <f t="shared" si="12"/>
        <v>3.6737445230872925E-2</v>
      </c>
      <c r="X60" s="2">
        <f t="shared" si="13"/>
        <v>2.9910269192422741E-2</v>
      </c>
      <c r="Y60" s="2">
        <f t="shared" si="14"/>
        <v>3.2818532818532802E-2</v>
      </c>
      <c r="Z60" s="2">
        <f t="shared" si="15"/>
        <v>2.4832855778414504E-2</v>
      </c>
      <c r="AA60" s="2">
        <f t="shared" si="16"/>
        <v>0.11288711288711291</v>
      </c>
      <c r="AB60" s="2">
        <f t="shared" si="17"/>
        <v>9.6473719228210228E-3</v>
      </c>
    </row>
    <row r="61" spans="1:28" x14ac:dyDescent="0.2">
      <c r="A61" t="s">
        <v>65</v>
      </c>
      <c r="B61" s="1" t="s">
        <v>64</v>
      </c>
      <c r="C61">
        <f>VLOOKUP($B61,gdp_cont!$A$2:$I$21,2,FALSE)</f>
        <v>0.187</v>
      </c>
      <c r="D61">
        <f>VLOOKUP($B61,gdp_cont!$A$2:$I$21,3,FALSE)</f>
        <v>0</v>
      </c>
      <c r="E61">
        <f>VLOOKUP($B61,gdp_cont!$A$2:$I$21,4,FALSE)</f>
        <v>0.109</v>
      </c>
      <c r="F61">
        <f>VLOOKUP($B61,gdp_cont!$A$2:$I$21,5,FALSE)</f>
        <v>0.09</v>
      </c>
      <c r="G61">
        <f>VLOOKUP($B61,gdp_cont!$A$2:$I$21,6,FALSE)</f>
        <v>0.10199999999999999</v>
      </c>
      <c r="H61">
        <f>VLOOKUP($B61,gdp_cont!$A$2:$I$21,7,FALSE)</f>
        <v>7.8E-2</v>
      </c>
      <c r="I61">
        <f>VLOOKUP($B61,gdp_cont!$A$2:$I$21,8,FALSE)</f>
        <v>0.33900000000000002</v>
      </c>
      <c r="J61">
        <f>VLOOKUP($B61,gdp_cont!$A$2:$I$21,9,FALSE)</f>
        <v>2.9000000000000001E-2</v>
      </c>
      <c r="L61" s="2">
        <f t="shared" si="26"/>
        <v>6.2333333333333331E-2</v>
      </c>
      <c r="M61" s="2">
        <f t="shared" si="19"/>
        <v>0</v>
      </c>
      <c r="N61" s="2">
        <f t="shared" si="20"/>
        <v>3.6333333333333336E-2</v>
      </c>
      <c r="O61" s="2">
        <f t="shared" si="21"/>
        <v>0.03</v>
      </c>
      <c r="P61" s="2">
        <f t="shared" si="22"/>
        <v>3.3999999999999996E-2</v>
      </c>
      <c r="Q61" s="2">
        <f t="shared" si="23"/>
        <v>2.5999999999999999E-2</v>
      </c>
      <c r="R61" s="2">
        <f t="shared" si="24"/>
        <v>0.113</v>
      </c>
      <c r="S61" s="2">
        <f t="shared" si="25"/>
        <v>9.6666666666666672E-3</v>
      </c>
      <c r="U61" s="2">
        <f t="shared" si="10"/>
        <v>6.2458249832999357E-2</v>
      </c>
      <c r="V61" s="2">
        <f t="shared" si="11"/>
        <v>0</v>
      </c>
      <c r="W61" s="2">
        <f t="shared" si="12"/>
        <v>3.6737445230872925E-2</v>
      </c>
      <c r="X61" s="2">
        <f t="shared" si="13"/>
        <v>2.9910269192422741E-2</v>
      </c>
      <c r="Y61" s="2">
        <f t="shared" si="14"/>
        <v>3.2818532818532802E-2</v>
      </c>
      <c r="Z61" s="2">
        <f t="shared" si="15"/>
        <v>2.4832855778414504E-2</v>
      </c>
      <c r="AA61" s="2">
        <f t="shared" si="16"/>
        <v>0.11288711288711291</v>
      </c>
      <c r="AB61" s="2">
        <f t="shared" si="17"/>
        <v>9.6473719228210228E-3</v>
      </c>
    </row>
    <row r="62" spans="1:28" x14ac:dyDescent="0.2">
      <c r="A62" t="s">
        <v>66</v>
      </c>
      <c r="B62" s="1" t="s">
        <v>64</v>
      </c>
      <c r="C62">
        <f>VLOOKUP($B62,gdp_cont!$A$2:$I$21,2,FALSE)</f>
        <v>0.187</v>
      </c>
      <c r="D62">
        <f>VLOOKUP($B62,gdp_cont!$A$2:$I$21,3,FALSE)</f>
        <v>0</v>
      </c>
      <c r="E62">
        <f>VLOOKUP($B62,gdp_cont!$A$2:$I$21,4,FALSE)</f>
        <v>0.109</v>
      </c>
      <c r="F62">
        <f>VLOOKUP($B62,gdp_cont!$A$2:$I$21,5,FALSE)</f>
        <v>0.09</v>
      </c>
      <c r="G62">
        <f>VLOOKUP($B62,gdp_cont!$A$2:$I$21,6,FALSE)</f>
        <v>0.10199999999999999</v>
      </c>
      <c r="H62">
        <f>VLOOKUP($B62,gdp_cont!$A$2:$I$21,7,FALSE)</f>
        <v>7.8E-2</v>
      </c>
      <c r="I62">
        <f>VLOOKUP($B62,gdp_cont!$A$2:$I$21,8,FALSE)</f>
        <v>0.33900000000000002</v>
      </c>
      <c r="J62">
        <f>VLOOKUP($B62,gdp_cont!$A$2:$I$21,9,FALSE)</f>
        <v>2.9000000000000001E-2</v>
      </c>
      <c r="L62" s="2">
        <f t="shared" si="26"/>
        <v>6.2333333333333331E-2</v>
      </c>
      <c r="M62" s="2">
        <f t="shared" si="19"/>
        <v>0</v>
      </c>
      <c r="N62" s="2">
        <f t="shared" si="20"/>
        <v>3.6333333333333336E-2</v>
      </c>
      <c r="O62" s="2">
        <f t="shared" si="21"/>
        <v>0.03</v>
      </c>
      <c r="P62" s="2">
        <f t="shared" si="22"/>
        <v>3.3999999999999996E-2</v>
      </c>
      <c r="Q62" s="2">
        <f t="shared" si="23"/>
        <v>2.5999999999999999E-2</v>
      </c>
      <c r="R62" s="2">
        <f t="shared" si="24"/>
        <v>0.113</v>
      </c>
      <c r="S62" s="2">
        <f t="shared" si="25"/>
        <v>9.6666666666666672E-3</v>
      </c>
      <c r="U62" s="2">
        <f t="shared" si="10"/>
        <v>6.2458249832999357E-2</v>
      </c>
      <c r="V62" s="2">
        <f t="shared" si="11"/>
        <v>0</v>
      </c>
      <c r="W62" s="2">
        <f t="shared" si="12"/>
        <v>3.6737445230872925E-2</v>
      </c>
      <c r="X62" s="2">
        <f t="shared" si="13"/>
        <v>2.9910269192422741E-2</v>
      </c>
      <c r="Y62" s="2">
        <f t="shared" si="14"/>
        <v>3.2818532818532802E-2</v>
      </c>
      <c r="Z62" s="2">
        <f t="shared" si="15"/>
        <v>2.4832855778414504E-2</v>
      </c>
      <c r="AA62" s="2">
        <f t="shared" si="16"/>
        <v>0.11288711288711291</v>
      </c>
      <c r="AB62" s="2">
        <f t="shared" si="17"/>
        <v>9.6473719228210228E-3</v>
      </c>
    </row>
    <row r="63" spans="1:28" x14ac:dyDescent="0.2">
      <c r="A63" t="s">
        <v>67</v>
      </c>
      <c r="B63" s="1" t="s">
        <v>68</v>
      </c>
      <c r="C63">
        <f>VLOOKUP($B63,gdp_cont!$A$2:$I$21,2,FALSE)</f>
        <v>8.5000000000000006E-2</v>
      </c>
      <c r="D63">
        <f>VLOOKUP($B63,gdp_cont!$A$2:$I$21,3,FALSE)</f>
        <v>0.20200000000000001</v>
      </c>
      <c r="E63">
        <f>VLOOKUP($B63,gdp_cont!$A$2:$I$21,4,FALSE)</f>
        <v>0.216</v>
      </c>
      <c r="F63">
        <f>VLOOKUP($B63,gdp_cont!$A$2:$I$21,5,FALSE)</f>
        <v>7.5999999999999998E-2</v>
      </c>
      <c r="G63">
        <f>VLOOKUP($B63,gdp_cont!$A$2:$I$21,6,FALSE)</f>
        <v>0.115</v>
      </c>
      <c r="H63">
        <f>VLOOKUP($B63,gdp_cont!$A$2:$I$21,7,FALSE)</f>
        <v>-5.8999999999999997E-2</v>
      </c>
      <c r="I63">
        <f>VLOOKUP($B63,gdp_cont!$A$2:$I$21,8,FALSE)</f>
        <v>-0.51800000000000002</v>
      </c>
      <c r="J63">
        <f>VLOOKUP($B63,gdp_cont!$A$2:$I$21,9,FALSE)</f>
        <v>2.3E-2</v>
      </c>
      <c r="L63" s="2">
        <f t="shared" si="26"/>
        <v>2.8333333333333335E-2</v>
      </c>
      <c r="M63" s="2">
        <f t="shared" si="19"/>
        <v>6.7333333333333342E-2</v>
      </c>
      <c r="N63" s="2">
        <f t="shared" si="20"/>
        <v>7.1999999999999995E-2</v>
      </c>
      <c r="O63" s="2">
        <f t="shared" si="21"/>
        <v>2.5333333333333333E-2</v>
      </c>
      <c r="P63" s="2">
        <f t="shared" si="22"/>
        <v>3.8333333333333337E-2</v>
      </c>
      <c r="Q63" s="2">
        <f t="shared" si="23"/>
        <v>-1.9666666666666666E-2</v>
      </c>
      <c r="R63" s="2">
        <f t="shared" si="24"/>
        <v>-0.17266666666666666</v>
      </c>
      <c r="S63" s="2">
        <f t="shared" si="25"/>
        <v>7.6666666666666662E-3</v>
      </c>
      <c r="U63" s="2">
        <f t="shared" si="10"/>
        <v>2.8390113560454257E-2</v>
      </c>
      <c r="V63" s="2">
        <f t="shared" si="11"/>
        <v>6.7603748326639901E-2</v>
      </c>
      <c r="W63" s="2">
        <f t="shared" si="12"/>
        <v>7.2800808897876615E-2</v>
      </c>
      <c r="X63" s="2">
        <f t="shared" si="13"/>
        <v>2.5257560651379202E-2</v>
      </c>
      <c r="Y63" s="2">
        <f t="shared" si="14"/>
        <v>3.7001287001286985E-2</v>
      </c>
      <c r="Z63" s="2">
        <f t="shared" si="15"/>
        <v>-1.8783826806749431E-2</v>
      </c>
      <c r="AA63" s="2">
        <f t="shared" si="16"/>
        <v>-0.17249417249417251</v>
      </c>
      <c r="AB63" s="2">
        <f t="shared" si="17"/>
        <v>7.651363938789086E-3</v>
      </c>
    </row>
    <row r="64" spans="1:28" x14ac:dyDescent="0.2">
      <c r="A64" t="s">
        <v>69</v>
      </c>
      <c r="B64" s="1" t="s">
        <v>68</v>
      </c>
      <c r="C64">
        <f>VLOOKUP($B64,gdp_cont!$A$2:$I$21,2,FALSE)</f>
        <v>8.5000000000000006E-2</v>
      </c>
      <c r="D64">
        <f>VLOOKUP($B64,gdp_cont!$A$2:$I$21,3,FALSE)</f>
        <v>0.20200000000000001</v>
      </c>
      <c r="E64">
        <f>VLOOKUP($B64,gdp_cont!$A$2:$I$21,4,FALSE)</f>
        <v>0.216</v>
      </c>
      <c r="F64">
        <f>VLOOKUP($B64,gdp_cont!$A$2:$I$21,5,FALSE)</f>
        <v>7.5999999999999998E-2</v>
      </c>
      <c r="G64">
        <f>VLOOKUP($B64,gdp_cont!$A$2:$I$21,6,FALSE)</f>
        <v>0.115</v>
      </c>
      <c r="H64">
        <f>VLOOKUP($B64,gdp_cont!$A$2:$I$21,7,FALSE)</f>
        <v>-5.8999999999999997E-2</v>
      </c>
      <c r="I64">
        <f>VLOOKUP($B64,gdp_cont!$A$2:$I$21,8,FALSE)</f>
        <v>-0.51800000000000002</v>
      </c>
      <c r="J64">
        <f>VLOOKUP($B64,gdp_cont!$A$2:$I$21,9,FALSE)</f>
        <v>2.3E-2</v>
      </c>
      <c r="L64" s="2">
        <f t="shared" si="26"/>
        <v>2.8333333333333335E-2</v>
      </c>
      <c r="M64" s="2">
        <f t="shared" si="19"/>
        <v>6.7333333333333342E-2</v>
      </c>
      <c r="N64" s="2">
        <f t="shared" si="20"/>
        <v>7.1999999999999995E-2</v>
      </c>
      <c r="O64" s="2">
        <f t="shared" si="21"/>
        <v>2.5333333333333333E-2</v>
      </c>
      <c r="P64" s="2">
        <f t="shared" si="22"/>
        <v>3.8333333333333337E-2</v>
      </c>
      <c r="Q64" s="2">
        <f t="shared" si="23"/>
        <v>-1.9666666666666666E-2</v>
      </c>
      <c r="R64" s="2">
        <f t="shared" si="24"/>
        <v>-0.17266666666666666</v>
      </c>
      <c r="S64" s="2">
        <f t="shared" si="25"/>
        <v>7.6666666666666662E-3</v>
      </c>
      <c r="U64" s="2">
        <f t="shared" si="10"/>
        <v>2.8390113560454257E-2</v>
      </c>
      <c r="V64" s="2">
        <f t="shared" si="11"/>
        <v>6.7603748326639901E-2</v>
      </c>
      <c r="W64" s="2">
        <f t="shared" si="12"/>
        <v>7.2800808897876615E-2</v>
      </c>
      <c r="X64" s="2">
        <f t="shared" si="13"/>
        <v>2.5257560651379202E-2</v>
      </c>
      <c r="Y64" s="2">
        <f t="shared" si="14"/>
        <v>3.7001287001286985E-2</v>
      </c>
      <c r="Z64" s="2">
        <f t="shared" si="15"/>
        <v>-1.8783826806749431E-2</v>
      </c>
      <c r="AA64" s="2">
        <f t="shared" si="16"/>
        <v>-0.17249417249417251</v>
      </c>
      <c r="AB64" s="2">
        <f t="shared" si="17"/>
        <v>7.651363938789086E-3</v>
      </c>
    </row>
    <row r="65" spans="1:28" x14ac:dyDescent="0.2">
      <c r="A65" t="s">
        <v>70</v>
      </c>
      <c r="B65" s="1" t="s">
        <v>68</v>
      </c>
      <c r="C65">
        <f>VLOOKUP($B65,gdp_cont!$A$2:$I$21,2,FALSE)</f>
        <v>8.5000000000000006E-2</v>
      </c>
      <c r="D65">
        <f>VLOOKUP($B65,gdp_cont!$A$2:$I$21,3,FALSE)</f>
        <v>0.20200000000000001</v>
      </c>
      <c r="E65">
        <f>VLOOKUP($B65,gdp_cont!$A$2:$I$21,4,FALSE)</f>
        <v>0.216</v>
      </c>
      <c r="F65">
        <f>VLOOKUP($B65,gdp_cont!$A$2:$I$21,5,FALSE)</f>
        <v>7.5999999999999998E-2</v>
      </c>
      <c r="G65">
        <f>VLOOKUP($B65,gdp_cont!$A$2:$I$21,6,FALSE)</f>
        <v>0.115</v>
      </c>
      <c r="H65">
        <f>VLOOKUP($B65,gdp_cont!$A$2:$I$21,7,FALSE)</f>
        <v>-5.8999999999999997E-2</v>
      </c>
      <c r="I65">
        <f>VLOOKUP($B65,gdp_cont!$A$2:$I$21,8,FALSE)</f>
        <v>-0.51800000000000002</v>
      </c>
      <c r="J65">
        <f>VLOOKUP($B65,gdp_cont!$A$2:$I$21,9,FALSE)</f>
        <v>2.3E-2</v>
      </c>
      <c r="L65" s="2">
        <f t="shared" si="26"/>
        <v>2.8333333333333335E-2</v>
      </c>
      <c r="M65" s="2">
        <f t="shared" si="19"/>
        <v>6.7333333333333342E-2</v>
      </c>
      <c r="N65" s="2">
        <f t="shared" si="20"/>
        <v>7.1999999999999995E-2</v>
      </c>
      <c r="O65" s="2">
        <f t="shared" si="21"/>
        <v>2.5333333333333333E-2</v>
      </c>
      <c r="P65" s="2">
        <f t="shared" si="22"/>
        <v>3.8333333333333337E-2</v>
      </c>
      <c r="Q65" s="2">
        <f t="shared" si="23"/>
        <v>-1.9666666666666666E-2</v>
      </c>
      <c r="R65" s="2">
        <f t="shared" si="24"/>
        <v>-0.17266666666666666</v>
      </c>
      <c r="S65" s="2">
        <f t="shared" si="25"/>
        <v>7.6666666666666662E-3</v>
      </c>
      <c r="U65" s="2">
        <f t="shared" si="10"/>
        <v>2.8390113560454257E-2</v>
      </c>
      <c r="V65" s="2">
        <f t="shared" si="11"/>
        <v>6.7603748326639901E-2</v>
      </c>
      <c r="W65" s="2">
        <f t="shared" si="12"/>
        <v>7.2800808897876615E-2</v>
      </c>
      <c r="X65" s="2">
        <f t="shared" si="13"/>
        <v>2.5257560651379202E-2</v>
      </c>
      <c r="Y65" s="2">
        <f t="shared" si="14"/>
        <v>3.7001287001286985E-2</v>
      </c>
      <c r="Z65" s="2">
        <f t="shared" si="15"/>
        <v>-1.8783826806749431E-2</v>
      </c>
      <c r="AA65" s="2">
        <f t="shared" si="16"/>
        <v>-0.17249417249417251</v>
      </c>
      <c r="AB65" s="2">
        <f t="shared" si="17"/>
        <v>7.651363938789086E-3</v>
      </c>
    </row>
    <row r="66" spans="1:28" x14ac:dyDescent="0.2">
      <c r="A66" t="s">
        <v>71</v>
      </c>
      <c r="B66" s="1" t="s">
        <v>72</v>
      </c>
      <c r="C66">
        <f>VLOOKUP($B66,gdp_cont!$A$2:$I$21,2,FALSE)</f>
        <v>0.04</v>
      </c>
      <c r="D66">
        <f>VLOOKUP($B66,gdp_cont!$A$2:$I$21,3,FALSE)</f>
        <v>4.4999999999999998E-2</v>
      </c>
      <c r="E66">
        <f>VLOOKUP($B66,gdp_cont!$A$2:$I$21,4,FALSE)</f>
        <v>7.4999999999999997E-2</v>
      </c>
      <c r="F66">
        <f>VLOOKUP($B66,gdp_cont!$A$2:$I$21,5,FALSE)</f>
        <v>7.5999999999999998E-2</v>
      </c>
      <c r="G66">
        <f>VLOOKUP($B66,gdp_cont!$A$2:$I$21,6,FALSE)</f>
        <v>0.04</v>
      </c>
      <c r="H66">
        <f>VLOOKUP($B66,gdp_cont!$A$2:$I$21,7,FALSE)</f>
        <v>9.9000000000000005E-2</v>
      </c>
      <c r="I66">
        <f>VLOOKUP($B66,gdp_cont!$A$2:$I$21,8,FALSE)</f>
        <v>-0.127</v>
      </c>
      <c r="J66">
        <f>VLOOKUP($B66,gdp_cont!$A$2:$I$21,9,FALSE)</f>
        <v>0.17699999999999999</v>
      </c>
      <c r="L66" s="2">
        <f t="shared" si="26"/>
        <v>6.6666666666666671E-3</v>
      </c>
      <c r="M66" s="2">
        <f t="shared" si="19"/>
        <v>7.4999999999999997E-3</v>
      </c>
      <c r="N66" s="2">
        <f t="shared" si="20"/>
        <v>1.2499999999999999E-2</v>
      </c>
      <c r="O66" s="2">
        <f t="shared" si="21"/>
        <v>1.2666666666666666E-2</v>
      </c>
      <c r="P66" s="2">
        <f t="shared" si="22"/>
        <v>6.6666666666666671E-3</v>
      </c>
      <c r="Q66" s="2">
        <f t="shared" si="23"/>
        <v>1.6500000000000001E-2</v>
      </c>
      <c r="R66" s="2">
        <f t="shared" si="24"/>
        <v>-2.1166666666666667E-2</v>
      </c>
      <c r="S66" s="2">
        <f t="shared" si="25"/>
        <v>2.9499999999999998E-2</v>
      </c>
      <c r="U66" s="2">
        <f t="shared" si="10"/>
        <v>6.6800267201068842E-3</v>
      </c>
      <c r="V66" s="2">
        <f t="shared" si="11"/>
        <v>7.5301204819277108E-3</v>
      </c>
      <c r="W66" s="2">
        <f t="shared" si="12"/>
        <v>1.2639029322548023E-2</v>
      </c>
      <c r="X66" s="2">
        <f t="shared" si="13"/>
        <v>1.2628780325689601E-2</v>
      </c>
      <c r="Y66" s="2">
        <f t="shared" si="14"/>
        <v>6.4350064350064328E-3</v>
      </c>
      <c r="Z66" s="2">
        <f t="shared" si="15"/>
        <v>1.5759312320916898E-2</v>
      </c>
      <c r="AA66" s="2">
        <f t="shared" si="16"/>
        <v>-2.1145521145521148E-2</v>
      </c>
      <c r="AB66" s="2">
        <f t="shared" si="17"/>
        <v>2.9441117764471048E-2</v>
      </c>
    </row>
    <row r="67" spans="1:28" x14ac:dyDescent="0.2">
      <c r="A67" t="s">
        <v>73</v>
      </c>
      <c r="B67" s="1" t="s">
        <v>72</v>
      </c>
      <c r="C67">
        <f>VLOOKUP($B67,gdp_cont!$A$2:$I$21,2,FALSE)</f>
        <v>0.04</v>
      </c>
      <c r="D67">
        <f>VLOOKUP($B67,gdp_cont!$A$2:$I$21,3,FALSE)</f>
        <v>4.4999999999999998E-2</v>
      </c>
      <c r="E67">
        <f>VLOOKUP($B67,gdp_cont!$A$2:$I$21,4,FALSE)</f>
        <v>7.4999999999999997E-2</v>
      </c>
      <c r="F67">
        <f>VLOOKUP($B67,gdp_cont!$A$2:$I$21,5,FALSE)</f>
        <v>7.5999999999999998E-2</v>
      </c>
      <c r="G67">
        <f>VLOOKUP($B67,gdp_cont!$A$2:$I$21,6,FALSE)</f>
        <v>0.04</v>
      </c>
      <c r="H67">
        <f>VLOOKUP($B67,gdp_cont!$A$2:$I$21,7,FALSE)</f>
        <v>9.9000000000000005E-2</v>
      </c>
      <c r="I67">
        <f>VLOOKUP($B67,gdp_cont!$A$2:$I$21,8,FALSE)</f>
        <v>-0.127</v>
      </c>
      <c r="J67">
        <f>VLOOKUP($B67,gdp_cont!$A$2:$I$21,9,FALSE)</f>
        <v>0.17699999999999999</v>
      </c>
      <c r="L67" s="2">
        <f t="shared" si="26"/>
        <v>6.6666666666666671E-3</v>
      </c>
      <c r="M67" s="2">
        <f t="shared" si="19"/>
        <v>7.4999999999999997E-3</v>
      </c>
      <c r="N67" s="2">
        <f t="shared" si="20"/>
        <v>1.2499999999999999E-2</v>
      </c>
      <c r="O67" s="2">
        <f t="shared" si="21"/>
        <v>1.2666666666666666E-2</v>
      </c>
      <c r="P67" s="2">
        <f t="shared" si="22"/>
        <v>6.6666666666666671E-3</v>
      </c>
      <c r="Q67" s="2">
        <f t="shared" si="23"/>
        <v>1.6500000000000001E-2</v>
      </c>
      <c r="R67" s="2">
        <f t="shared" si="24"/>
        <v>-2.1166666666666667E-2</v>
      </c>
      <c r="S67" s="2">
        <f t="shared" si="25"/>
        <v>2.9499999999999998E-2</v>
      </c>
      <c r="U67" s="2">
        <f t="shared" ref="U67:U113" si="27">L67/L$115</f>
        <v>6.6800267201068842E-3</v>
      </c>
      <c r="V67" s="2">
        <f t="shared" ref="V67:V113" si="28">M67/M$115</f>
        <v>7.5301204819277108E-3</v>
      </c>
      <c r="W67" s="2">
        <f t="shared" ref="W67:W113" si="29">N67/N$115</f>
        <v>1.2639029322548023E-2</v>
      </c>
      <c r="X67" s="2">
        <f t="shared" ref="X67:X113" si="30">O67/O$115</f>
        <v>1.2628780325689601E-2</v>
      </c>
      <c r="Y67" s="2">
        <f t="shared" ref="Y67:Y113" si="31">P67/P$115</f>
        <v>6.4350064350064328E-3</v>
      </c>
      <c r="Z67" s="2">
        <f t="shared" ref="Z67:Z113" si="32">Q67/Q$115</f>
        <v>1.5759312320916898E-2</v>
      </c>
      <c r="AA67" s="2">
        <f t="shared" ref="AA67:AA113" si="33">R67/R$115</f>
        <v>-2.1145521145521148E-2</v>
      </c>
      <c r="AB67" s="2">
        <f t="shared" ref="AB67:AB113" si="34">S67/S$115</f>
        <v>2.9441117764471048E-2</v>
      </c>
    </row>
    <row r="68" spans="1:28" x14ac:dyDescent="0.2">
      <c r="A68" t="s">
        <v>74</v>
      </c>
      <c r="B68" s="1" t="s">
        <v>72</v>
      </c>
      <c r="C68">
        <f>VLOOKUP($B68,gdp_cont!$A$2:$I$21,2,FALSE)</f>
        <v>0.04</v>
      </c>
      <c r="D68">
        <f>VLOOKUP($B68,gdp_cont!$A$2:$I$21,3,FALSE)</f>
        <v>4.4999999999999998E-2</v>
      </c>
      <c r="E68">
        <f>VLOOKUP($B68,gdp_cont!$A$2:$I$21,4,FALSE)</f>
        <v>7.4999999999999997E-2</v>
      </c>
      <c r="F68">
        <f>VLOOKUP($B68,gdp_cont!$A$2:$I$21,5,FALSE)</f>
        <v>7.5999999999999998E-2</v>
      </c>
      <c r="G68">
        <f>VLOOKUP($B68,gdp_cont!$A$2:$I$21,6,FALSE)</f>
        <v>0.04</v>
      </c>
      <c r="H68">
        <f>VLOOKUP($B68,gdp_cont!$A$2:$I$21,7,FALSE)</f>
        <v>9.9000000000000005E-2</v>
      </c>
      <c r="I68">
        <f>VLOOKUP($B68,gdp_cont!$A$2:$I$21,8,FALSE)</f>
        <v>-0.127</v>
      </c>
      <c r="J68">
        <f>VLOOKUP($B68,gdp_cont!$A$2:$I$21,9,FALSE)</f>
        <v>0.17699999999999999</v>
      </c>
      <c r="L68" s="2">
        <f t="shared" si="26"/>
        <v>6.6666666666666671E-3</v>
      </c>
      <c r="M68" s="2">
        <f t="shared" si="19"/>
        <v>7.4999999999999997E-3</v>
      </c>
      <c r="N68" s="2">
        <f t="shared" si="20"/>
        <v>1.2499999999999999E-2</v>
      </c>
      <c r="O68" s="2">
        <f t="shared" si="21"/>
        <v>1.2666666666666666E-2</v>
      </c>
      <c r="P68" s="2">
        <f t="shared" si="22"/>
        <v>6.6666666666666671E-3</v>
      </c>
      <c r="Q68" s="2">
        <f t="shared" si="23"/>
        <v>1.6500000000000001E-2</v>
      </c>
      <c r="R68" s="2">
        <f t="shared" si="24"/>
        <v>-2.1166666666666667E-2</v>
      </c>
      <c r="S68" s="2">
        <f t="shared" si="25"/>
        <v>2.9499999999999998E-2</v>
      </c>
      <c r="U68" s="2">
        <f t="shared" si="27"/>
        <v>6.6800267201068842E-3</v>
      </c>
      <c r="V68" s="2">
        <f t="shared" si="28"/>
        <v>7.5301204819277108E-3</v>
      </c>
      <c r="W68" s="2">
        <f t="shared" si="29"/>
        <v>1.2639029322548023E-2</v>
      </c>
      <c r="X68" s="2">
        <f t="shared" si="30"/>
        <v>1.2628780325689601E-2</v>
      </c>
      <c r="Y68" s="2">
        <f t="shared" si="31"/>
        <v>6.4350064350064328E-3</v>
      </c>
      <c r="Z68" s="2">
        <f t="shared" si="32"/>
        <v>1.5759312320916898E-2</v>
      </c>
      <c r="AA68" s="2">
        <f t="shared" si="33"/>
        <v>-2.1145521145521148E-2</v>
      </c>
      <c r="AB68" s="2">
        <f t="shared" si="34"/>
        <v>2.9441117764471048E-2</v>
      </c>
    </row>
    <row r="69" spans="1:28" x14ac:dyDescent="0.2">
      <c r="A69" t="s">
        <v>75</v>
      </c>
      <c r="B69" s="1" t="s">
        <v>72</v>
      </c>
      <c r="C69">
        <f>VLOOKUP($B69,gdp_cont!$A$2:$I$21,2,FALSE)</f>
        <v>0.04</v>
      </c>
      <c r="D69">
        <f>VLOOKUP($B69,gdp_cont!$A$2:$I$21,3,FALSE)</f>
        <v>4.4999999999999998E-2</v>
      </c>
      <c r="E69">
        <f>VLOOKUP($B69,gdp_cont!$A$2:$I$21,4,FALSE)</f>
        <v>7.4999999999999997E-2</v>
      </c>
      <c r="F69">
        <f>VLOOKUP($B69,gdp_cont!$A$2:$I$21,5,FALSE)</f>
        <v>7.5999999999999998E-2</v>
      </c>
      <c r="G69">
        <f>VLOOKUP($B69,gdp_cont!$A$2:$I$21,6,FALSE)</f>
        <v>0.04</v>
      </c>
      <c r="H69">
        <f>VLOOKUP($B69,gdp_cont!$A$2:$I$21,7,FALSE)</f>
        <v>9.9000000000000005E-2</v>
      </c>
      <c r="I69">
        <f>VLOOKUP($B69,gdp_cont!$A$2:$I$21,8,FALSE)</f>
        <v>-0.127</v>
      </c>
      <c r="J69">
        <f>VLOOKUP($B69,gdp_cont!$A$2:$I$21,9,FALSE)</f>
        <v>0.17699999999999999</v>
      </c>
      <c r="L69" s="2">
        <f t="shared" si="26"/>
        <v>6.6666666666666671E-3</v>
      </c>
      <c r="M69" s="2">
        <f t="shared" si="19"/>
        <v>7.4999999999999997E-3</v>
      </c>
      <c r="N69" s="2">
        <f t="shared" si="20"/>
        <v>1.2499999999999999E-2</v>
      </c>
      <c r="O69" s="2">
        <f t="shared" si="21"/>
        <v>1.2666666666666666E-2</v>
      </c>
      <c r="P69" s="2">
        <f t="shared" si="22"/>
        <v>6.6666666666666671E-3</v>
      </c>
      <c r="Q69" s="2">
        <f t="shared" si="23"/>
        <v>1.6500000000000001E-2</v>
      </c>
      <c r="R69" s="2">
        <f t="shared" si="24"/>
        <v>-2.1166666666666667E-2</v>
      </c>
      <c r="S69" s="2">
        <f t="shared" si="25"/>
        <v>2.9499999999999998E-2</v>
      </c>
      <c r="U69" s="2">
        <f t="shared" si="27"/>
        <v>6.6800267201068842E-3</v>
      </c>
      <c r="V69" s="2">
        <f t="shared" si="28"/>
        <v>7.5301204819277108E-3</v>
      </c>
      <c r="W69" s="2">
        <f t="shared" si="29"/>
        <v>1.2639029322548023E-2</v>
      </c>
      <c r="X69" s="2">
        <f t="shared" si="30"/>
        <v>1.2628780325689601E-2</v>
      </c>
      <c r="Y69" s="2">
        <f t="shared" si="31"/>
        <v>6.4350064350064328E-3</v>
      </c>
      <c r="Z69" s="2">
        <f t="shared" si="32"/>
        <v>1.5759312320916898E-2</v>
      </c>
      <c r="AA69" s="2">
        <f t="shared" si="33"/>
        <v>-2.1145521145521148E-2</v>
      </c>
      <c r="AB69" s="2">
        <f t="shared" si="34"/>
        <v>2.9441117764471048E-2</v>
      </c>
    </row>
    <row r="70" spans="1:28" x14ac:dyDescent="0.2">
      <c r="A70" t="s">
        <v>76</v>
      </c>
      <c r="B70" s="1" t="s">
        <v>72</v>
      </c>
      <c r="C70">
        <f>VLOOKUP($B70,gdp_cont!$A$2:$I$21,2,FALSE)</f>
        <v>0.04</v>
      </c>
      <c r="D70">
        <f>VLOOKUP($B70,gdp_cont!$A$2:$I$21,3,FALSE)</f>
        <v>4.4999999999999998E-2</v>
      </c>
      <c r="E70">
        <f>VLOOKUP($B70,gdp_cont!$A$2:$I$21,4,FALSE)</f>
        <v>7.4999999999999997E-2</v>
      </c>
      <c r="F70">
        <f>VLOOKUP($B70,gdp_cont!$A$2:$I$21,5,FALSE)</f>
        <v>7.5999999999999998E-2</v>
      </c>
      <c r="G70">
        <f>VLOOKUP($B70,gdp_cont!$A$2:$I$21,6,FALSE)</f>
        <v>0.04</v>
      </c>
      <c r="H70">
        <f>VLOOKUP($B70,gdp_cont!$A$2:$I$21,7,FALSE)</f>
        <v>9.9000000000000005E-2</v>
      </c>
      <c r="I70">
        <f>VLOOKUP($B70,gdp_cont!$A$2:$I$21,8,FALSE)</f>
        <v>-0.127</v>
      </c>
      <c r="J70">
        <f>VLOOKUP($B70,gdp_cont!$A$2:$I$21,9,FALSE)</f>
        <v>0.17699999999999999</v>
      </c>
      <c r="L70" s="2">
        <f t="shared" si="26"/>
        <v>6.6666666666666671E-3</v>
      </c>
      <c r="M70" s="2">
        <f t="shared" si="19"/>
        <v>7.4999999999999997E-3</v>
      </c>
      <c r="N70" s="2">
        <f t="shared" si="20"/>
        <v>1.2499999999999999E-2</v>
      </c>
      <c r="O70" s="2">
        <f t="shared" si="21"/>
        <v>1.2666666666666666E-2</v>
      </c>
      <c r="P70" s="2">
        <f t="shared" si="22"/>
        <v>6.6666666666666671E-3</v>
      </c>
      <c r="Q70" s="2">
        <f t="shared" si="23"/>
        <v>1.6500000000000001E-2</v>
      </c>
      <c r="R70" s="2">
        <f t="shared" si="24"/>
        <v>-2.1166666666666667E-2</v>
      </c>
      <c r="S70" s="2">
        <f t="shared" si="25"/>
        <v>2.9499999999999998E-2</v>
      </c>
      <c r="U70" s="2">
        <f t="shared" si="27"/>
        <v>6.6800267201068842E-3</v>
      </c>
      <c r="V70" s="2">
        <f t="shared" si="28"/>
        <v>7.5301204819277108E-3</v>
      </c>
      <c r="W70" s="2">
        <f t="shared" si="29"/>
        <v>1.2639029322548023E-2</v>
      </c>
      <c r="X70" s="2">
        <f t="shared" si="30"/>
        <v>1.2628780325689601E-2</v>
      </c>
      <c r="Y70" s="2">
        <f t="shared" si="31"/>
        <v>6.4350064350064328E-3</v>
      </c>
      <c r="Z70" s="2">
        <f t="shared" si="32"/>
        <v>1.5759312320916898E-2</v>
      </c>
      <c r="AA70" s="2">
        <f t="shared" si="33"/>
        <v>-2.1145521145521148E-2</v>
      </c>
      <c r="AB70" s="2">
        <f t="shared" si="34"/>
        <v>2.9441117764471048E-2</v>
      </c>
    </row>
    <row r="71" spans="1:28" x14ac:dyDescent="0.2">
      <c r="A71" t="s">
        <v>77</v>
      </c>
      <c r="B71" s="1" t="s">
        <v>72</v>
      </c>
      <c r="C71">
        <f>VLOOKUP($B71,gdp_cont!$A$2:$I$21,2,FALSE)</f>
        <v>0.04</v>
      </c>
      <c r="D71">
        <f>VLOOKUP($B71,gdp_cont!$A$2:$I$21,3,FALSE)</f>
        <v>4.4999999999999998E-2</v>
      </c>
      <c r="E71">
        <f>VLOOKUP($B71,gdp_cont!$A$2:$I$21,4,FALSE)</f>
        <v>7.4999999999999997E-2</v>
      </c>
      <c r="F71">
        <f>VLOOKUP($B71,gdp_cont!$A$2:$I$21,5,FALSE)</f>
        <v>7.5999999999999998E-2</v>
      </c>
      <c r="G71">
        <f>VLOOKUP($B71,gdp_cont!$A$2:$I$21,6,FALSE)</f>
        <v>0.04</v>
      </c>
      <c r="H71">
        <f>VLOOKUP($B71,gdp_cont!$A$2:$I$21,7,FALSE)</f>
        <v>9.9000000000000005E-2</v>
      </c>
      <c r="I71">
        <f>VLOOKUP($B71,gdp_cont!$A$2:$I$21,8,FALSE)</f>
        <v>-0.127</v>
      </c>
      <c r="J71">
        <f>VLOOKUP($B71,gdp_cont!$A$2:$I$21,9,FALSE)</f>
        <v>0.17699999999999999</v>
      </c>
      <c r="L71" s="2">
        <f t="shared" si="26"/>
        <v>6.6666666666666671E-3</v>
      </c>
      <c r="M71" s="2">
        <f t="shared" si="19"/>
        <v>7.4999999999999997E-3</v>
      </c>
      <c r="N71" s="2">
        <f t="shared" si="20"/>
        <v>1.2499999999999999E-2</v>
      </c>
      <c r="O71" s="2">
        <f t="shared" si="21"/>
        <v>1.2666666666666666E-2</v>
      </c>
      <c r="P71" s="2">
        <f t="shared" si="22"/>
        <v>6.6666666666666671E-3</v>
      </c>
      <c r="Q71" s="2">
        <f t="shared" si="23"/>
        <v>1.6500000000000001E-2</v>
      </c>
      <c r="R71" s="2">
        <f t="shared" si="24"/>
        <v>-2.1166666666666667E-2</v>
      </c>
      <c r="S71" s="2">
        <f t="shared" si="25"/>
        <v>2.9499999999999998E-2</v>
      </c>
      <c r="U71" s="2">
        <f t="shared" si="27"/>
        <v>6.6800267201068842E-3</v>
      </c>
      <c r="V71" s="2">
        <f t="shared" si="28"/>
        <v>7.5301204819277108E-3</v>
      </c>
      <c r="W71" s="2">
        <f t="shared" si="29"/>
        <v>1.2639029322548023E-2</v>
      </c>
      <c r="X71" s="2">
        <f t="shared" si="30"/>
        <v>1.2628780325689601E-2</v>
      </c>
      <c r="Y71" s="2">
        <f t="shared" si="31"/>
        <v>6.4350064350064328E-3</v>
      </c>
      <c r="Z71" s="2">
        <f t="shared" si="32"/>
        <v>1.5759312320916898E-2</v>
      </c>
      <c r="AA71" s="2">
        <f t="shared" si="33"/>
        <v>-2.1145521145521148E-2</v>
      </c>
      <c r="AB71" s="2">
        <f t="shared" si="34"/>
        <v>2.9441117764471048E-2</v>
      </c>
    </row>
    <row r="72" spans="1:28" x14ac:dyDescent="0.2">
      <c r="A72" t="s">
        <v>78</v>
      </c>
      <c r="B72" s="1" t="s">
        <v>79</v>
      </c>
      <c r="C72">
        <f>VLOOKUP($B72,gdp_cont!$A$2:$I$21,2,FALSE)</f>
        <v>3.5000000000000003E-2</v>
      </c>
      <c r="D72">
        <f>VLOOKUP($B72,gdp_cont!$A$2:$I$21,3,FALSE)</f>
        <v>4.2000000000000003E-2</v>
      </c>
      <c r="E72">
        <f>VLOOKUP($B72,gdp_cont!$A$2:$I$21,4,FALSE)</f>
        <v>3.2000000000000001E-2</v>
      </c>
      <c r="F72">
        <f>VLOOKUP($B72,gdp_cont!$A$2:$I$21,5,FALSE)</f>
        <v>0.14499999999999999</v>
      </c>
      <c r="G72">
        <f>VLOOKUP($B72,gdp_cont!$A$2:$I$21,6,FALSE)</f>
        <v>9.7000000000000003E-2</v>
      </c>
      <c r="H72">
        <f>VLOOKUP($B72,gdp_cont!$A$2:$I$21,7,FALSE)</f>
        <v>0.21</v>
      </c>
      <c r="I72">
        <f>VLOOKUP($B72,gdp_cont!$A$2:$I$21,8,FALSE)</f>
        <v>-9.9000000000000005E-2</v>
      </c>
      <c r="J72">
        <f>VLOOKUP($B72,gdp_cont!$A$2:$I$21,9,FALSE)</f>
        <v>7.0000000000000001E-3</v>
      </c>
      <c r="L72" s="2">
        <f t="shared" si="26"/>
        <v>1.7500000000000002E-2</v>
      </c>
      <c r="M72" s="2">
        <f t="shared" si="19"/>
        <v>2.1000000000000001E-2</v>
      </c>
      <c r="N72" s="2">
        <f t="shared" si="20"/>
        <v>1.6E-2</v>
      </c>
      <c r="O72" s="2">
        <f t="shared" si="21"/>
        <v>7.2499999999999995E-2</v>
      </c>
      <c r="P72" s="2">
        <f t="shared" si="22"/>
        <v>4.8500000000000001E-2</v>
      </c>
      <c r="Q72" s="2">
        <f t="shared" si="23"/>
        <v>0.105</v>
      </c>
      <c r="R72" s="2">
        <f t="shared" si="24"/>
        <v>-4.9500000000000002E-2</v>
      </c>
      <c r="S72" s="2">
        <f t="shared" si="25"/>
        <v>3.5000000000000001E-3</v>
      </c>
      <c r="U72" s="2">
        <f t="shared" si="27"/>
        <v>1.7535070140280572E-2</v>
      </c>
      <c r="V72" s="2">
        <f t="shared" si="28"/>
        <v>2.1084337349397592E-2</v>
      </c>
      <c r="W72" s="2">
        <f t="shared" si="29"/>
        <v>1.617795753286147E-2</v>
      </c>
      <c r="X72" s="2">
        <f t="shared" si="30"/>
        <v>7.2283150548354949E-2</v>
      </c>
      <c r="Y72" s="2">
        <f t="shared" si="31"/>
        <v>4.6814671814671797E-2</v>
      </c>
      <c r="Z72" s="2">
        <f t="shared" si="32"/>
        <v>0.10028653295128934</v>
      </c>
      <c r="AA72" s="2">
        <f t="shared" si="33"/>
        <v>-4.9450549450549455E-2</v>
      </c>
      <c r="AB72" s="2">
        <f t="shared" si="34"/>
        <v>3.4930139720558877E-3</v>
      </c>
    </row>
    <row r="73" spans="1:28" x14ac:dyDescent="0.2">
      <c r="A73" t="s">
        <v>80</v>
      </c>
      <c r="B73" s="1" t="s">
        <v>79</v>
      </c>
      <c r="C73">
        <f>VLOOKUP($B73,gdp_cont!$A$2:$I$21,2,FALSE)</f>
        <v>3.5000000000000003E-2</v>
      </c>
      <c r="D73">
        <f>VLOOKUP($B73,gdp_cont!$A$2:$I$21,3,FALSE)</f>
        <v>4.2000000000000003E-2</v>
      </c>
      <c r="E73">
        <f>VLOOKUP($B73,gdp_cont!$A$2:$I$21,4,FALSE)</f>
        <v>3.2000000000000001E-2</v>
      </c>
      <c r="F73">
        <f>VLOOKUP($B73,gdp_cont!$A$2:$I$21,5,FALSE)</f>
        <v>0.14499999999999999</v>
      </c>
      <c r="G73">
        <f>VLOOKUP($B73,gdp_cont!$A$2:$I$21,6,FALSE)</f>
        <v>9.7000000000000003E-2</v>
      </c>
      <c r="H73">
        <f>VLOOKUP($B73,gdp_cont!$A$2:$I$21,7,FALSE)</f>
        <v>0.21</v>
      </c>
      <c r="I73">
        <f>VLOOKUP($B73,gdp_cont!$A$2:$I$21,8,FALSE)</f>
        <v>-9.9000000000000005E-2</v>
      </c>
      <c r="J73">
        <f>VLOOKUP($B73,gdp_cont!$A$2:$I$21,9,FALSE)</f>
        <v>7.0000000000000001E-3</v>
      </c>
      <c r="L73" s="2">
        <f t="shared" si="26"/>
        <v>1.7500000000000002E-2</v>
      </c>
      <c r="M73" s="2">
        <f t="shared" ref="M73:M113" si="35">D73/COUNTIFS($B$2:$B$113,$B73)</f>
        <v>2.1000000000000001E-2</v>
      </c>
      <c r="N73" s="2">
        <f t="shared" ref="N73:N113" si="36">E73/COUNTIFS($B$2:$B$113,$B73)</f>
        <v>1.6E-2</v>
      </c>
      <c r="O73" s="2">
        <f t="shared" ref="O73:O113" si="37">F73/COUNTIFS($B$2:$B$113,$B73)</f>
        <v>7.2499999999999995E-2</v>
      </c>
      <c r="P73" s="2">
        <f t="shared" ref="P73:P113" si="38">G73/COUNTIFS($B$2:$B$113,$B73)</f>
        <v>4.8500000000000001E-2</v>
      </c>
      <c r="Q73" s="2">
        <f t="shared" ref="Q73:Q113" si="39">H73/COUNTIFS($B$2:$B$113,$B73)</f>
        <v>0.105</v>
      </c>
      <c r="R73" s="2">
        <f t="shared" ref="R73:R113" si="40">I73/COUNTIFS($B$2:$B$113,$B73)</f>
        <v>-4.9500000000000002E-2</v>
      </c>
      <c r="S73" s="2">
        <f t="shared" ref="S73:S113" si="41">J73/COUNTIFS($B$2:$B$113,$B73)</f>
        <v>3.5000000000000001E-3</v>
      </c>
      <c r="U73" s="2">
        <f t="shared" si="27"/>
        <v>1.7535070140280572E-2</v>
      </c>
      <c r="V73" s="2">
        <f t="shared" si="28"/>
        <v>2.1084337349397592E-2</v>
      </c>
      <c r="W73" s="2">
        <f t="shared" si="29"/>
        <v>1.617795753286147E-2</v>
      </c>
      <c r="X73" s="2">
        <f t="shared" si="30"/>
        <v>7.2283150548354949E-2</v>
      </c>
      <c r="Y73" s="2">
        <f t="shared" si="31"/>
        <v>4.6814671814671797E-2</v>
      </c>
      <c r="Z73" s="2">
        <f t="shared" si="32"/>
        <v>0.10028653295128934</v>
      </c>
      <c r="AA73" s="2">
        <f t="shared" si="33"/>
        <v>-4.9450549450549455E-2</v>
      </c>
      <c r="AB73" s="2">
        <f t="shared" si="34"/>
        <v>3.4930139720558877E-3</v>
      </c>
    </row>
    <row r="74" spans="1:28" x14ac:dyDescent="0.2">
      <c r="A74" t="s">
        <v>81</v>
      </c>
      <c r="B74" s="1" t="s">
        <v>82</v>
      </c>
      <c r="C74">
        <f>VLOOKUP($B74,gdp_cont!$A$2:$I$21,2,FALSE)</f>
        <v>0.17499999999999999</v>
      </c>
      <c r="D74">
        <f>VLOOKUP($B74,gdp_cont!$A$2:$I$21,3,FALSE)</f>
        <v>0.21099999999999999</v>
      </c>
      <c r="E74">
        <f>VLOOKUP($B74,gdp_cont!$A$2:$I$21,4,FALSE)</f>
        <v>0.29699999999999999</v>
      </c>
      <c r="F74">
        <f>VLOOKUP($B74,gdp_cont!$A$2:$I$21,5,FALSE)</f>
        <v>5.8999999999999997E-2</v>
      </c>
      <c r="G74">
        <f>VLOOKUP($B74,gdp_cont!$A$2:$I$21,6,FALSE)</f>
        <v>3.5999999999999997E-2</v>
      </c>
      <c r="H74">
        <f>VLOOKUP($B74,gdp_cont!$A$2:$I$21,7,FALSE)</f>
        <v>0.126</v>
      </c>
      <c r="I74">
        <f>VLOOKUP($B74,gdp_cont!$A$2:$I$21,8,FALSE)</f>
        <v>0.28100000000000003</v>
      </c>
      <c r="J74">
        <f>VLOOKUP($B74,gdp_cont!$A$2:$I$21,9,FALSE)</f>
        <v>6.3E-2</v>
      </c>
      <c r="L74" s="2">
        <f t="shared" si="26"/>
        <v>2.9166666666666664E-2</v>
      </c>
      <c r="M74" s="2">
        <f t="shared" si="35"/>
        <v>3.5166666666666666E-2</v>
      </c>
      <c r="N74" s="2">
        <f t="shared" si="36"/>
        <v>4.9499999999999995E-2</v>
      </c>
      <c r="O74" s="2">
        <f t="shared" si="37"/>
        <v>9.8333333333333328E-3</v>
      </c>
      <c r="P74" s="2">
        <f t="shared" si="38"/>
        <v>5.9999999999999993E-3</v>
      </c>
      <c r="Q74" s="2">
        <f t="shared" si="39"/>
        <v>2.1000000000000001E-2</v>
      </c>
      <c r="R74" s="2">
        <f t="shared" si="40"/>
        <v>4.6833333333333338E-2</v>
      </c>
      <c r="S74" s="2">
        <f t="shared" si="41"/>
        <v>1.0500000000000001E-2</v>
      </c>
      <c r="U74" s="2">
        <f t="shared" si="27"/>
        <v>2.9225116900467613E-2</v>
      </c>
      <c r="V74" s="2">
        <f t="shared" si="28"/>
        <v>3.5307898259705491E-2</v>
      </c>
      <c r="W74" s="2">
        <f t="shared" si="29"/>
        <v>5.0050556117290174E-2</v>
      </c>
      <c r="X74" s="2">
        <f t="shared" si="30"/>
        <v>9.8039215686274543E-3</v>
      </c>
      <c r="Y74" s="2">
        <f t="shared" si="31"/>
        <v>5.7915057915057877E-3</v>
      </c>
      <c r="Z74" s="2">
        <f t="shared" si="32"/>
        <v>2.0057306590257871E-2</v>
      </c>
      <c r="AA74" s="2">
        <f t="shared" si="33"/>
        <v>4.6786546786546798E-2</v>
      </c>
      <c r="AB74" s="2">
        <f t="shared" si="34"/>
        <v>1.0479041916167662E-2</v>
      </c>
    </row>
    <row r="75" spans="1:28" x14ac:dyDescent="0.2">
      <c r="A75" t="s">
        <v>83</v>
      </c>
      <c r="B75" s="1" t="s">
        <v>82</v>
      </c>
      <c r="C75">
        <f>VLOOKUP($B75,gdp_cont!$A$2:$I$21,2,FALSE)</f>
        <v>0.17499999999999999</v>
      </c>
      <c r="D75">
        <f>VLOOKUP($B75,gdp_cont!$A$2:$I$21,3,FALSE)</f>
        <v>0.21099999999999999</v>
      </c>
      <c r="E75">
        <f>VLOOKUP($B75,gdp_cont!$A$2:$I$21,4,FALSE)</f>
        <v>0.29699999999999999</v>
      </c>
      <c r="F75">
        <f>VLOOKUP($B75,gdp_cont!$A$2:$I$21,5,FALSE)</f>
        <v>5.8999999999999997E-2</v>
      </c>
      <c r="G75">
        <f>VLOOKUP($B75,gdp_cont!$A$2:$I$21,6,FALSE)</f>
        <v>3.5999999999999997E-2</v>
      </c>
      <c r="H75">
        <f>VLOOKUP($B75,gdp_cont!$A$2:$I$21,7,FALSE)</f>
        <v>0.126</v>
      </c>
      <c r="I75">
        <f>VLOOKUP($B75,gdp_cont!$A$2:$I$21,8,FALSE)</f>
        <v>0.28100000000000003</v>
      </c>
      <c r="J75">
        <f>VLOOKUP($B75,gdp_cont!$A$2:$I$21,9,FALSE)</f>
        <v>6.3E-2</v>
      </c>
      <c r="L75" s="2">
        <f>C75/COUNTIFS($B$2:$B$113,$B75)</f>
        <v>2.9166666666666664E-2</v>
      </c>
      <c r="M75" s="2">
        <f t="shared" si="35"/>
        <v>3.5166666666666666E-2</v>
      </c>
      <c r="N75" s="2">
        <f t="shared" si="36"/>
        <v>4.9499999999999995E-2</v>
      </c>
      <c r="O75" s="2">
        <f t="shared" si="37"/>
        <v>9.8333333333333328E-3</v>
      </c>
      <c r="P75" s="2">
        <f t="shared" si="38"/>
        <v>5.9999999999999993E-3</v>
      </c>
      <c r="Q75" s="2">
        <f t="shared" si="39"/>
        <v>2.1000000000000001E-2</v>
      </c>
      <c r="R75" s="2">
        <f t="shared" si="40"/>
        <v>4.6833333333333338E-2</v>
      </c>
      <c r="S75" s="2">
        <f t="shared" si="41"/>
        <v>1.0500000000000001E-2</v>
      </c>
      <c r="U75" s="2">
        <f t="shared" si="27"/>
        <v>2.9225116900467613E-2</v>
      </c>
      <c r="V75" s="2">
        <f t="shared" si="28"/>
        <v>3.5307898259705491E-2</v>
      </c>
      <c r="W75" s="2">
        <f t="shared" si="29"/>
        <v>5.0050556117290174E-2</v>
      </c>
      <c r="X75" s="2">
        <f t="shared" si="30"/>
        <v>9.8039215686274543E-3</v>
      </c>
      <c r="Y75" s="2">
        <f t="shared" si="31"/>
        <v>5.7915057915057877E-3</v>
      </c>
      <c r="Z75" s="2">
        <f t="shared" si="32"/>
        <v>2.0057306590257871E-2</v>
      </c>
      <c r="AA75" s="2">
        <f t="shared" si="33"/>
        <v>4.6786546786546798E-2</v>
      </c>
      <c r="AB75" s="2">
        <f t="shared" si="34"/>
        <v>1.0479041916167662E-2</v>
      </c>
    </row>
    <row r="76" spans="1:28" x14ac:dyDescent="0.2">
      <c r="A76" t="s">
        <v>84</v>
      </c>
      <c r="B76" s="1" t="s">
        <v>82</v>
      </c>
      <c r="C76">
        <f>VLOOKUP($B76,gdp_cont!$A$2:$I$21,2,FALSE)</f>
        <v>0.17499999999999999</v>
      </c>
      <c r="D76">
        <f>VLOOKUP($B76,gdp_cont!$A$2:$I$21,3,FALSE)</f>
        <v>0.21099999999999999</v>
      </c>
      <c r="E76">
        <f>VLOOKUP($B76,gdp_cont!$A$2:$I$21,4,FALSE)</f>
        <v>0.29699999999999999</v>
      </c>
      <c r="F76">
        <f>VLOOKUP($B76,gdp_cont!$A$2:$I$21,5,FALSE)</f>
        <v>5.8999999999999997E-2</v>
      </c>
      <c r="G76">
        <f>VLOOKUP($B76,gdp_cont!$A$2:$I$21,6,FALSE)</f>
        <v>3.5999999999999997E-2</v>
      </c>
      <c r="H76">
        <f>VLOOKUP($B76,gdp_cont!$A$2:$I$21,7,FALSE)</f>
        <v>0.126</v>
      </c>
      <c r="I76">
        <f>VLOOKUP($B76,gdp_cont!$A$2:$I$21,8,FALSE)</f>
        <v>0.28100000000000003</v>
      </c>
      <c r="J76">
        <f>VLOOKUP($B76,gdp_cont!$A$2:$I$21,9,FALSE)</f>
        <v>6.3E-2</v>
      </c>
      <c r="L76" s="2">
        <f t="shared" ref="L76:L113" si="42">C76/COUNTIFS($B$2:$B$113,$B76)</f>
        <v>2.9166666666666664E-2</v>
      </c>
      <c r="M76" s="2">
        <f t="shared" si="35"/>
        <v>3.5166666666666666E-2</v>
      </c>
      <c r="N76" s="2">
        <f t="shared" si="36"/>
        <v>4.9499999999999995E-2</v>
      </c>
      <c r="O76" s="2">
        <f t="shared" si="37"/>
        <v>9.8333333333333328E-3</v>
      </c>
      <c r="P76" s="2">
        <f t="shared" si="38"/>
        <v>5.9999999999999993E-3</v>
      </c>
      <c r="Q76" s="2">
        <f t="shared" si="39"/>
        <v>2.1000000000000001E-2</v>
      </c>
      <c r="R76" s="2">
        <f t="shared" si="40"/>
        <v>4.6833333333333338E-2</v>
      </c>
      <c r="S76" s="2">
        <f t="shared" si="41"/>
        <v>1.0500000000000001E-2</v>
      </c>
      <c r="U76" s="2">
        <f t="shared" si="27"/>
        <v>2.9225116900467613E-2</v>
      </c>
      <c r="V76" s="2">
        <f t="shared" si="28"/>
        <v>3.5307898259705491E-2</v>
      </c>
      <c r="W76" s="2">
        <f t="shared" si="29"/>
        <v>5.0050556117290174E-2</v>
      </c>
      <c r="X76" s="2">
        <f t="shared" si="30"/>
        <v>9.8039215686274543E-3</v>
      </c>
      <c r="Y76" s="2">
        <f t="shared" si="31"/>
        <v>5.7915057915057877E-3</v>
      </c>
      <c r="Z76" s="2">
        <f t="shared" si="32"/>
        <v>2.0057306590257871E-2</v>
      </c>
      <c r="AA76" s="2">
        <f t="shared" si="33"/>
        <v>4.6786546786546798E-2</v>
      </c>
      <c r="AB76" s="2">
        <f t="shared" si="34"/>
        <v>1.0479041916167662E-2</v>
      </c>
    </row>
    <row r="77" spans="1:28" x14ac:dyDescent="0.2">
      <c r="A77" t="s">
        <v>85</v>
      </c>
      <c r="B77" s="1" t="s">
        <v>82</v>
      </c>
      <c r="C77">
        <f>VLOOKUP($B77,gdp_cont!$A$2:$I$21,2,FALSE)</f>
        <v>0.17499999999999999</v>
      </c>
      <c r="D77">
        <f>VLOOKUP($B77,gdp_cont!$A$2:$I$21,3,FALSE)</f>
        <v>0.21099999999999999</v>
      </c>
      <c r="E77">
        <f>VLOOKUP($B77,gdp_cont!$A$2:$I$21,4,FALSE)</f>
        <v>0.29699999999999999</v>
      </c>
      <c r="F77">
        <f>VLOOKUP($B77,gdp_cont!$A$2:$I$21,5,FALSE)</f>
        <v>5.8999999999999997E-2</v>
      </c>
      <c r="G77">
        <f>VLOOKUP($B77,gdp_cont!$A$2:$I$21,6,FALSE)</f>
        <v>3.5999999999999997E-2</v>
      </c>
      <c r="H77">
        <f>VLOOKUP($B77,gdp_cont!$A$2:$I$21,7,FALSE)</f>
        <v>0.126</v>
      </c>
      <c r="I77">
        <f>VLOOKUP($B77,gdp_cont!$A$2:$I$21,8,FALSE)</f>
        <v>0.28100000000000003</v>
      </c>
      <c r="J77">
        <f>VLOOKUP($B77,gdp_cont!$A$2:$I$21,9,FALSE)</f>
        <v>6.3E-2</v>
      </c>
      <c r="L77" s="2">
        <f t="shared" si="42"/>
        <v>2.9166666666666664E-2</v>
      </c>
      <c r="M77" s="2">
        <f t="shared" si="35"/>
        <v>3.5166666666666666E-2</v>
      </c>
      <c r="N77" s="2">
        <f t="shared" si="36"/>
        <v>4.9499999999999995E-2</v>
      </c>
      <c r="O77" s="2">
        <f t="shared" si="37"/>
        <v>9.8333333333333328E-3</v>
      </c>
      <c r="P77" s="2">
        <f t="shared" si="38"/>
        <v>5.9999999999999993E-3</v>
      </c>
      <c r="Q77" s="2">
        <f t="shared" si="39"/>
        <v>2.1000000000000001E-2</v>
      </c>
      <c r="R77" s="2">
        <f t="shared" si="40"/>
        <v>4.6833333333333338E-2</v>
      </c>
      <c r="S77" s="2">
        <f t="shared" si="41"/>
        <v>1.0500000000000001E-2</v>
      </c>
      <c r="U77" s="2">
        <f t="shared" si="27"/>
        <v>2.9225116900467613E-2</v>
      </c>
      <c r="V77" s="2">
        <f t="shared" si="28"/>
        <v>3.5307898259705491E-2</v>
      </c>
      <c r="W77" s="2">
        <f t="shared" si="29"/>
        <v>5.0050556117290174E-2</v>
      </c>
      <c r="X77" s="2">
        <f t="shared" si="30"/>
        <v>9.8039215686274543E-3</v>
      </c>
      <c r="Y77" s="2">
        <f t="shared" si="31"/>
        <v>5.7915057915057877E-3</v>
      </c>
      <c r="Z77" s="2">
        <f t="shared" si="32"/>
        <v>2.0057306590257871E-2</v>
      </c>
      <c r="AA77" s="2">
        <f t="shared" si="33"/>
        <v>4.6786546786546798E-2</v>
      </c>
      <c r="AB77" s="2">
        <f t="shared" si="34"/>
        <v>1.0479041916167662E-2</v>
      </c>
    </row>
    <row r="78" spans="1:28" x14ac:dyDescent="0.2">
      <c r="A78" t="s">
        <v>86</v>
      </c>
      <c r="B78" s="1" t="s">
        <v>82</v>
      </c>
      <c r="C78">
        <f>VLOOKUP($B78,gdp_cont!$A$2:$I$21,2,FALSE)</f>
        <v>0.17499999999999999</v>
      </c>
      <c r="D78">
        <f>VLOOKUP($B78,gdp_cont!$A$2:$I$21,3,FALSE)</f>
        <v>0.21099999999999999</v>
      </c>
      <c r="E78">
        <f>VLOOKUP($B78,gdp_cont!$A$2:$I$21,4,FALSE)</f>
        <v>0.29699999999999999</v>
      </c>
      <c r="F78">
        <f>VLOOKUP($B78,gdp_cont!$A$2:$I$21,5,FALSE)</f>
        <v>5.8999999999999997E-2</v>
      </c>
      <c r="G78">
        <f>VLOOKUP($B78,gdp_cont!$A$2:$I$21,6,FALSE)</f>
        <v>3.5999999999999997E-2</v>
      </c>
      <c r="H78">
        <f>VLOOKUP($B78,gdp_cont!$A$2:$I$21,7,FALSE)</f>
        <v>0.126</v>
      </c>
      <c r="I78">
        <f>VLOOKUP($B78,gdp_cont!$A$2:$I$21,8,FALSE)</f>
        <v>0.28100000000000003</v>
      </c>
      <c r="J78">
        <f>VLOOKUP($B78,gdp_cont!$A$2:$I$21,9,FALSE)</f>
        <v>6.3E-2</v>
      </c>
      <c r="L78" s="2">
        <f t="shared" si="42"/>
        <v>2.9166666666666664E-2</v>
      </c>
      <c r="M78" s="2">
        <f t="shared" si="35"/>
        <v>3.5166666666666666E-2</v>
      </c>
      <c r="N78" s="2">
        <f t="shared" si="36"/>
        <v>4.9499999999999995E-2</v>
      </c>
      <c r="O78" s="2">
        <f t="shared" si="37"/>
        <v>9.8333333333333328E-3</v>
      </c>
      <c r="P78" s="2">
        <f t="shared" si="38"/>
        <v>5.9999999999999993E-3</v>
      </c>
      <c r="Q78" s="2">
        <f t="shared" si="39"/>
        <v>2.1000000000000001E-2</v>
      </c>
      <c r="R78" s="2">
        <f t="shared" si="40"/>
        <v>4.6833333333333338E-2</v>
      </c>
      <c r="S78" s="2">
        <f t="shared" si="41"/>
        <v>1.0500000000000001E-2</v>
      </c>
      <c r="U78" s="2">
        <f t="shared" si="27"/>
        <v>2.9225116900467613E-2</v>
      </c>
      <c r="V78" s="2">
        <f t="shared" si="28"/>
        <v>3.5307898259705491E-2</v>
      </c>
      <c r="W78" s="2">
        <f t="shared" si="29"/>
        <v>5.0050556117290174E-2</v>
      </c>
      <c r="X78" s="2">
        <f t="shared" si="30"/>
        <v>9.8039215686274543E-3</v>
      </c>
      <c r="Y78" s="2">
        <f t="shared" si="31"/>
        <v>5.7915057915057877E-3</v>
      </c>
      <c r="Z78" s="2">
        <f t="shared" si="32"/>
        <v>2.0057306590257871E-2</v>
      </c>
      <c r="AA78" s="2">
        <f t="shared" si="33"/>
        <v>4.6786546786546798E-2</v>
      </c>
      <c r="AB78" s="2">
        <f t="shared" si="34"/>
        <v>1.0479041916167662E-2</v>
      </c>
    </row>
    <row r="79" spans="1:28" x14ac:dyDescent="0.2">
      <c r="A79" t="s">
        <v>87</v>
      </c>
      <c r="B79" s="1" t="s">
        <v>82</v>
      </c>
      <c r="C79">
        <f>VLOOKUP($B79,gdp_cont!$A$2:$I$21,2,FALSE)</f>
        <v>0.17499999999999999</v>
      </c>
      <c r="D79">
        <f>VLOOKUP($B79,gdp_cont!$A$2:$I$21,3,FALSE)</f>
        <v>0.21099999999999999</v>
      </c>
      <c r="E79">
        <f>VLOOKUP($B79,gdp_cont!$A$2:$I$21,4,FALSE)</f>
        <v>0.29699999999999999</v>
      </c>
      <c r="F79">
        <f>VLOOKUP($B79,gdp_cont!$A$2:$I$21,5,FALSE)</f>
        <v>5.8999999999999997E-2</v>
      </c>
      <c r="G79">
        <f>VLOOKUP($B79,gdp_cont!$A$2:$I$21,6,FALSE)</f>
        <v>3.5999999999999997E-2</v>
      </c>
      <c r="H79">
        <f>VLOOKUP($B79,gdp_cont!$A$2:$I$21,7,FALSE)</f>
        <v>0.126</v>
      </c>
      <c r="I79">
        <f>VLOOKUP($B79,gdp_cont!$A$2:$I$21,8,FALSE)</f>
        <v>0.28100000000000003</v>
      </c>
      <c r="J79">
        <f>VLOOKUP($B79,gdp_cont!$A$2:$I$21,9,FALSE)</f>
        <v>6.3E-2</v>
      </c>
      <c r="L79" s="2">
        <f t="shared" si="42"/>
        <v>2.9166666666666664E-2</v>
      </c>
      <c r="M79" s="2">
        <f t="shared" si="35"/>
        <v>3.5166666666666666E-2</v>
      </c>
      <c r="N79" s="2">
        <f t="shared" si="36"/>
        <v>4.9499999999999995E-2</v>
      </c>
      <c r="O79" s="2">
        <f t="shared" si="37"/>
        <v>9.8333333333333328E-3</v>
      </c>
      <c r="P79" s="2">
        <f t="shared" si="38"/>
        <v>5.9999999999999993E-3</v>
      </c>
      <c r="Q79" s="2">
        <f t="shared" si="39"/>
        <v>2.1000000000000001E-2</v>
      </c>
      <c r="R79" s="2">
        <f t="shared" si="40"/>
        <v>4.6833333333333338E-2</v>
      </c>
      <c r="S79" s="2">
        <f t="shared" si="41"/>
        <v>1.0500000000000001E-2</v>
      </c>
      <c r="U79" s="2">
        <f t="shared" si="27"/>
        <v>2.9225116900467613E-2</v>
      </c>
      <c r="V79" s="2">
        <f t="shared" si="28"/>
        <v>3.5307898259705491E-2</v>
      </c>
      <c r="W79" s="2">
        <f t="shared" si="29"/>
        <v>5.0050556117290174E-2</v>
      </c>
      <c r="X79" s="2">
        <f t="shared" si="30"/>
        <v>9.8039215686274543E-3</v>
      </c>
      <c r="Y79" s="2">
        <f t="shared" si="31"/>
        <v>5.7915057915057877E-3</v>
      </c>
      <c r="Z79" s="2">
        <f t="shared" si="32"/>
        <v>2.0057306590257871E-2</v>
      </c>
      <c r="AA79" s="2">
        <f t="shared" si="33"/>
        <v>4.6786546786546798E-2</v>
      </c>
      <c r="AB79" s="2">
        <f t="shared" si="34"/>
        <v>1.0479041916167662E-2</v>
      </c>
    </row>
    <row r="80" spans="1:28" x14ac:dyDescent="0.2">
      <c r="A80" t="s">
        <v>88</v>
      </c>
      <c r="B80" s="1" t="s">
        <v>89</v>
      </c>
      <c r="C80">
        <f>VLOOKUP($B80,gdp_cont!$A$2:$I$21,2,FALSE)</f>
        <v>1.2999999999999999E-2</v>
      </c>
      <c r="D80">
        <f>VLOOKUP($B80,gdp_cont!$A$2:$I$21,3,FALSE)</f>
        <v>-4.8000000000000001E-2</v>
      </c>
      <c r="E80">
        <f>VLOOKUP($B80,gdp_cont!$A$2:$I$21,4,FALSE)</f>
        <v>-0.14299999999999999</v>
      </c>
      <c r="F80">
        <f>VLOOKUP($B80,gdp_cont!$A$2:$I$21,5,FALSE)</f>
        <v>2.3E-2</v>
      </c>
      <c r="G80">
        <f>VLOOKUP($B80,gdp_cont!$A$2:$I$21,6,FALSE)</f>
        <v>1.7999999999999999E-2</v>
      </c>
      <c r="H80">
        <f>VLOOKUP($B80,gdp_cont!$A$2:$I$21,7,FALSE)</f>
        <v>-1.2999999999999999E-2</v>
      </c>
      <c r="I80">
        <f>VLOOKUP($B80,gdp_cont!$A$2:$I$21,8,FALSE)</f>
        <v>-0.161</v>
      </c>
      <c r="J80">
        <f>VLOOKUP($B80,gdp_cont!$A$2:$I$21,9,FALSE)</f>
        <v>-7.8E-2</v>
      </c>
      <c r="L80" s="2">
        <f t="shared" si="42"/>
        <v>3.2499999999999999E-3</v>
      </c>
      <c r="M80" s="2">
        <f t="shared" si="35"/>
        <v>-1.2E-2</v>
      </c>
      <c r="N80" s="2">
        <f t="shared" si="36"/>
        <v>-3.5749999999999997E-2</v>
      </c>
      <c r="O80" s="2">
        <f t="shared" si="37"/>
        <v>5.7499999999999999E-3</v>
      </c>
      <c r="P80" s="2">
        <f t="shared" si="38"/>
        <v>4.4999999999999997E-3</v>
      </c>
      <c r="Q80" s="2">
        <f t="shared" si="39"/>
        <v>-3.2499999999999999E-3</v>
      </c>
      <c r="R80" s="2">
        <f t="shared" si="40"/>
        <v>-4.0250000000000001E-2</v>
      </c>
      <c r="S80" s="2">
        <f t="shared" si="41"/>
        <v>-1.95E-2</v>
      </c>
      <c r="U80" s="2">
        <f t="shared" si="27"/>
        <v>3.2565130260521057E-3</v>
      </c>
      <c r="V80" s="2">
        <f t="shared" si="28"/>
        <v>-1.2048192771084338E-2</v>
      </c>
      <c r="W80" s="2">
        <f t="shared" si="29"/>
        <v>-3.6147623862487349E-2</v>
      </c>
      <c r="X80" s="2">
        <f t="shared" si="30"/>
        <v>5.7328015952143587E-3</v>
      </c>
      <c r="Y80" s="2">
        <f t="shared" si="31"/>
        <v>4.343629343629341E-3</v>
      </c>
      <c r="Z80" s="2">
        <f t="shared" si="32"/>
        <v>-3.104106972301813E-3</v>
      </c>
      <c r="AA80" s="2">
        <f t="shared" si="33"/>
        <v>-4.0209790209790215E-2</v>
      </c>
      <c r="AB80" s="2">
        <f t="shared" si="34"/>
        <v>-1.9461077844311375E-2</v>
      </c>
    </row>
    <row r="81" spans="1:28" x14ac:dyDescent="0.2">
      <c r="A81" t="s">
        <v>90</v>
      </c>
      <c r="B81" s="1" t="s">
        <v>89</v>
      </c>
      <c r="C81">
        <f>VLOOKUP($B81,gdp_cont!$A$2:$I$21,2,FALSE)</f>
        <v>1.2999999999999999E-2</v>
      </c>
      <c r="D81">
        <f>VLOOKUP($B81,gdp_cont!$A$2:$I$21,3,FALSE)</f>
        <v>-4.8000000000000001E-2</v>
      </c>
      <c r="E81">
        <f>VLOOKUP($B81,gdp_cont!$A$2:$I$21,4,FALSE)</f>
        <v>-0.14299999999999999</v>
      </c>
      <c r="F81">
        <f>VLOOKUP($B81,gdp_cont!$A$2:$I$21,5,FALSE)</f>
        <v>2.3E-2</v>
      </c>
      <c r="G81">
        <f>VLOOKUP($B81,gdp_cont!$A$2:$I$21,6,FALSE)</f>
        <v>1.7999999999999999E-2</v>
      </c>
      <c r="H81">
        <f>VLOOKUP($B81,gdp_cont!$A$2:$I$21,7,FALSE)</f>
        <v>-1.2999999999999999E-2</v>
      </c>
      <c r="I81">
        <f>VLOOKUP($B81,gdp_cont!$A$2:$I$21,8,FALSE)</f>
        <v>-0.161</v>
      </c>
      <c r="J81">
        <f>VLOOKUP($B81,gdp_cont!$A$2:$I$21,9,FALSE)</f>
        <v>-7.8E-2</v>
      </c>
      <c r="L81" s="2">
        <f t="shared" si="42"/>
        <v>3.2499999999999999E-3</v>
      </c>
      <c r="M81" s="2">
        <f t="shared" si="35"/>
        <v>-1.2E-2</v>
      </c>
      <c r="N81" s="2">
        <f t="shared" si="36"/>
        <v>-3.5749999999999997E-2</v>
      </c>
      <c r="O81" s="2">
        <f t="shared" si="37"/>
        <v>5.7499999999999999E-3</v>
      </c>
      <c r="P81" s="2">
        <f t="shared" si="38"/>
        <v>4.4999999999999997E-3</v>
      </c>
      <c r="Q81" s="2">
        <f t="shared" si="39"/>
        <v>-3.2499999999999999E-3</v>
      </c>
      <c r="R81" s="2">
        <f t="shared" si="40"/>
        <v>-4.0250000000000001E-2</v>
      </c>
      <c r="S81" s="2">
        <f t="shared" si="41"/>
        <v>-1.95E-2</v>
      </c>
      <c r="U81" s="2">
        <f t="shared" si="27"/>
        <v>3.2565130260521057E-3</v>
      </c>
      <c r="V81" s="2">
        <f t="shared" si="28"/>
        <v>-1.2048192771084338E-2</v>
      </c>
      <c r="W81" s="2">
        <f t="shared" si="29"/>
        <v>-3.6147623862487349E-2</v>
      </c>
      <c r="X81" s="2">
        <f t="shared" si="30"/>
        <v>5.7328015952143587E-3</v>
      </c>
      <c r="Y81" s="2">
        <f t="shared" si="31"/>
        <v>4.343629343629341E-3</v>
      </c>
      <c r="Z81" s="2">
        <f t="shared" si="32"/>
        <v>-3.104106972301813E-3</v>
      </c>
      <c r="AA81" s="2">
        <f t="shared" si="33"/>
        <v>-4.0209790209790215E-2</v>
      </c>
      <c r="AB81" s="2">
        <f t="shared" si="34"/>
        <v>-1.9461077844311375E-2</v>
      </c>
    </row>
    <row r="82" spans="1:28" x14ac:dyDescent="0.2">
      <c r="A82" t="s">
        <v>91</v>
      </c>
      <c r="B82" s="1" t="s">
        <v>89</v>
      </c>
      <c r="C82">
        <f>VLOOKUP($B82,gdp_cont!$A$2:$I$21,2,FALSE)</f>
        <v>1.2999999999999999E-2</v>
      </c>
      <c r="D82">
        <f>VLOOKUP($B82,gdp_cont!$A$2:$I$21,3,FALSE)</f>
        <v>-4.8000000000000001E-2</v>
      </c>
      <c r="E82">
        <f>VLOOKUP($B82,gdp_cont!$A$2:$I$21,4,FALSE)</f>
        <v>-0.14299999999999999</v>
      </c>
      <c r="F82">
        <f>VLOOKUP($B82,gdp_cont!$A$2:$I$21,5,FALSE)</f>
        <v>2.3E-2</v>
      </c>
      <c r="G82">
        <f>VLOOKUP($B82,gdp_cont!$A$2:$I$21,6,FALSE)</f>
        <v>1.7999999999999999E-2</v>
      </c>
      <c r="H82">
        <f>VLOOKUP($B82,gdp_cont!$A$2:$I$21,7,FALSE)</f>
        <v>-1.2999999999999999E-2</v>
      </c>
      <c r="I82">
        <f>VLOOKUP($B82,gdp_cont!$A$2:$I$21,8,FALSE)</f>
        <v>-0.161</v>
      </c>
      <c r="J82">
        <f>VLOOKUP($B82,gdp_cont!$A$2:$I$21,9,FALSE)</f>
        <v>-7.8E-2</v>
      </c>
      <c r="L82" s="2">
        <f t="shared" si="42"/>
        <v>3.2499999999999999E-3</v>
      </c>
      <c r="M82" s="2">
        <f t="shared" si="35"/>
        <v>-1.2E-2</v>
      </c>
      <c r="N82" s="2">
        <f t="shared" si="36"/>
        <v>-3.5749999999999997E-2</v>
      </c>
      <c r="O82" s="2">
        <f t="shared" si="37"/>
        <v>5.7499999999999999E-3</v>
      </c>
      <c r="P82" s="2">
        <f t="shared" si="38"/>
        <v>4.4999999999999997E-3</v>
      </c>
      <c r="Q82" s="2">
        <f t="shared" si="39"/>
        <v>-3.2499999999999999E-3</v>
      </c>
      <c r="R82" s="2">
        <f t="shared" si="40"/>
        <v>-4.0250000000000001E-2</v>
      </c>
      <c r="S82" s="2">
        <f t="shared" si="41"/>
        <v>-1.95E-2</v>
      </c>
      <c r="U82" s="2">
        <f t="shared" si="27"/>
        <v>3.2565130260521057E-3</v>
      </c>
      <c r="V82" s="2">
        <f t="shared" si="28"/>
        <v>-1.2048192771084338E-2</v>
      </c>
      <c r="W82" s="2">
        <f t="shared" si="29"/>
        <v>-3.6147623862487349E-2</v>
      </c>
      <c r="X82" s="2">
        <f t="shared" si="30"/>
        <v>5.7328015952143587E-3</v>
      </c>
      <c r="Y82" s="2">
        <f t="shared" si="31"/>
        <v>4.343629343629341E-3</v>
      </c>
      <c r="Z82" s="2">
        <f t="shared" si="32"/>
        <v>-3.104106972301813E-3</v>
      </c>
      <c r="AA82" s="2">
        <f t="shared" si="33"/>
        <v>-4.0209790209790215E-2</v>
      </c>
      <c r="AB82" s="2">
        <f t="shared" si="34"/>
        <v>-1.9461077844311375E-2</v>
      </c>
    </row>
    <row r="83" spans="1:28" x14ac:dyDescent="0.2">
      <c r="A83" t="s">
        <v>92</v>
      </c>
      <c r="B83" s="1" t="s">
        <v>89</v>
      </c>
      <c r="C83">
        <f>VLOOKUP($B83,gdp_cont!$A$2:$I$21,2,FALSE)</f>
        <v>1.2999999999999999E-2</v>
      </c>
      <c r="D83">
        <f>VLOOKUP($B83,gdp_cont!$A$2:$I$21,3,FALSE)</f>
        <v>-4.8000000000000001E-2</v>
      </c>
      <c r="E83">
        <f>VLOOKUP($B83,gdp_cont!$A$2:$I$21,4,FALSE)</f>
        <v>-0.14299999999999999</v>
      </c>
      <c r="F83">
        <f>VLOOKUP($B83,gdp_cont!$A$2:$I$21,5,FALSE)</f>
        <v>2.3E-2</v>
      </c>
      <c r="G83">
        <f>VLOOKUP($B83,gdp_cont!$A$2:$I$21,6,FALSE)</f>
        <v>1.7999999999999999E-2</v>
      </c>
      <c r="H83">
        <f>VLOOKUP($B83,gdp_cont!$A$2:$I$21,7,FALSE)</f>
        <v>-1.2999999999999999E-2</v>
      </c>
      <c r="I83">
        <f>VLOOKUP($B83,gdp_cont!$A$2:$I$21,8,FALSE)</f>
        <v>-0.161</v>
      </c>
      <c r="J83">
        <f>VLOOKUP($B83,gdp_cont!$A$2:$I$21,9,FALSE)</f>
        <v>-7.8E-2</v>
      </c>
      <c r="L83" s="2">
        <f t="shared" si="42"/>
        <v>3.2499999999999999E-3</v>
      </c>
      <c r="M83" s="2">
        <f t="shared" si="35"/>
        <v>-1.2E-2</v>
      </c>
      <c r="N83" s="2">
        <f t="shared" si="36"/>
        <v>-3.5749999999999997E-2</v>
      </c>
      <c r="O83" s="2">
        <f t="shared" si="37"/>
        <v>5.7499999999999999E-3</v>
      </c>
      <c r="P83" s="2">
        <f t="shared" si="38"/>
        <v>4.4999999999999997E-3</v>
      </c>
      <c r="Q83" s="2">
        <f t="shared" si="39"/>
        <v>-3.2499999999999999E-3</v>
      </c>
      <c r="R83" s="2">
        <f t="shared" si="40"/>
        <v>-4.0250000000000001E-2</v>
      </c>
      <c r="S83" s="2">
        <f t="shared" si="41"/>
        <v>-1.95E-2</v>
      </c>
      <c r="U83" s="2">
        <f t="shared" si="27"/>
        <v>3.2565130260521057E-3</v>
      </c>
      <c r="V83" s="2">
        <f t="shared" si="28"/>
        <v>-1.2048192771084338E-2</v>
      </c>
      <c r="W83" s="2">
        <f t="shared" si="29"/>
        <v>-3.6147623862487349E-2</v>
      </c>
      <c r="X83" s="2">
        <f t="shared" si="30"/>
        <v>5.7328015952143587E-3</v>
      </c>
      <c r="Y83" s="2">
        <f t="shared" si="31"/>
        <v>4.343629343629341E-3</v>
      </c>
      <c r="Z83" s="2">
        <f t="shared" si="32"/>
        <v>-3.104106972301813E-3</v>
      </c>
      <c r="AA83" s="2">
        <f t="shared" si="33"/>
        <v>-4.0209790209790215E-2</v>
      </c>
      <c r="AB83" s="2">
        <f t="shared" si="34"/>
        <v>-1.9461077844311375E-2</v>
      </c>
    </row>
    <row r="84" spans="1:28" x14ac:dyDescent="0.2">
      <c r="A84" t="s">
        <v>93</v>
      </c>
      <c r="B84" s="1" t="s">
        <v>95</v>
      </c>
      <c r="C84">
        <f>VLOOKUP($B84,gdp_cont!$A$2:$I$21,2,FALSE)</f>
        <v>6.0999999999999999E-2</v>
      </c>
      <c r="D84">
        <f>VLOOKUP($B84,gdp_cont!$A$2:$I$21,3,FALSE)</f>
        <v>0.05</v>
      </c>
      <c r="E84">
        <f>VLOOKUP($B84,gdp_cont!$A$2:$I$21,4,FALSE)</f>
        <v>6.2E-2</v>
      </c>
      <c r="F84">
        <f>VLOOKUP($B84,gdp_cont!$A$2:$I$21,5,FALSE)</f>
        <v>1.7000000000000001E-2</v>
      </c>
      <c r="G84">
        <f>VLOOKUP($B84,gdp_cont!$A$2:$I$21,6,FALSE)</f>
        <v>-3.0000000000000001E-3</v>
      </c>
      <c r="H84">
        <f>VLOOKUP($B84,gdp_cont!$A$2:$I$21,7,FALSE)</f>
        <v>-1.2999999999999999E-2</v>
      </c>
      <c r="I84">
        <f>VLOOKUP($B84,gdp_cont!$A$2:$I$21,8,FALSE)</f>
        <v>-0.17499999999999999</v>
      </c>
      <c r="J84">
        <f>VLOOKUP($B84,gdp_cont!$A$2:$I$21,9,FALSE)</f>
        <v>8.4000000000000005E-2</v>
      </c>
      <c r="L84" s="2">
        <f t="shared" si="42"/>
        <v>2.0333333333333332E-2</v>
      </c>
      <c r="M84" s="2">
        <f t="shared" si="35"/>
        <v>1.6666666666666666E-2</v>
      </c>
      <c r="N84" s="2">
        <f t="shared" si="36"/>
        <v>2.0666666666666667E-2</v>
      </c>
      <c r="O84" s="2">
        <f t="shared" si="37"/>
        <v>5.6666666666666671E-3</v>
      </c>
      <c r="P84" s="2">
        <f t="shared" si="38"/>
        <v>-1E-3</v>
      </c>
      <c r="Q84" s="2">
        <f t="shared" si="39"/>
        <v>-4.3333333333333331E-3</v>
      </c>
      <c r="R84" s="2">
        <f t="shared" si="40"/>
        <v>-5.8333333333333327E-2</v>
      </c>
      <c r="S84" s="2">
        <f t="shared" si="41"/>
        <v>2.8000000000000001E-2</v>
      </c>
      <c r="U84" s="2">
        <f t="shared" si="27"/>
        <v>2.0374081496325993E-2</v>
      </c>
      <c r="V84" s="2">
        <f t="shared" si="28"/>
        <v>1.6733601070950468E-2</v>
      </c>
      <c r="W84" s="2">
        <f t="shared" si="29"/>
        <v>2.0896528479946067E-2</v>
      </c>
      <c r="X84" s="2">
        <f t="shared" si="30"/>
        <v>5.6497175141242964E-3</v>
      </c>
      <c r="Y84" s="2">
        <f t="shared" si="31"/>
        <v>-9.6525096525096484E-4</v>
      </c>
      <c r="Z84" s="2">
        <f t="shared" si="32"/>
        <v>-4.1388092964024167E-3</v>
      </c>
      <c r="AA84" s="2">
        <f t="shared" si="33"/>
        <v>-5.8275058275058272E-2</v>
      </c>
      <c r="AB84" s="2">
        <f t="shared" si="34"/>
        <v>2.7944111776447102E-2</v>
      </c>
    </row>
    <row r="85" spans="1:28" x14ac:dyDescent="0.2">
      <c r="A85" t="s">
        <v>94</v>
      </c>
      <c r="B85" s="1" t="s">
        <v>95</v>
      </c>
      <c r="C85">
        <f>VLOOKUP($B85,gdp_cont!$A$2:$I$21,2,FALSE)</f>
        <v>6.0999999999999999E-2</v>
      </c>
      <c r="D85">
        <f>VLOOKUP($B85,gdp_cont!$A$2:$I$21,3,FALSE)</f>
        <v>0.05</v>
      </c>
      <c r="E85">
        <f>VLOOKUP($B85,gdp_cont!$A$2:$I$21,4,FALSE)</f>
        <v>6.2E-2</v>
      </c>
      <c r="F85">
        <f>VLOOKUP($B85,gdp_cont!$A$2:$I$21,5,FALSE)</f>
        <v>1.7000000000000001E-2</v>
      </c>
      <c r="G85">
        <f>VLOOKUP($B85,gdp_cont!$A$2:$I$21,6,FALSE)</f>
        <v>-3.0000000000000001E-3</v>
      </c>
      <c r="H85">
        <f>VLOOKUP($B85,gdp_cont!$A$2:$I$21,7,FALSE)</f>
        <v>-1.2999999999999999E-2</v>
      </c>
      <c r="I85">
        <f>VLOOKUP($B85,gdp_cont!$A$2:$I$21,8,FALSE)</f>
        <v>-0.17499999999999999</v>
      </c>
      <c r="J85">
        <f>VLOOKUP($B85,gdp_cont!$A$2:$I$21,9,FALSE)</f>
        <v>8.4000000000000005E-2</v>
      </c>
      <c r="L85" s="2">
        <f t="shared" si="42"/>
        <v>2.0333333333333332E-2</v>
      </c>
      <c r="M85" s="2">
        <f t="shared" si="35"/>
        <v>1.6666666666666666E-2</v>
      </c>
      <c r="N85" s="2">
        <f t="shared" si="36"/>
        <v>2.0666666666666667E-2</v>
      </c>
      <c r="O85" s="2">
        <f t="shared" si="37"/>
        <v>5.6666666666666671E-3</v>
      </c>
      <c r="P85" s="2">
        <f t="shared" si="38"/>
        <v>-1E-3</v>
      </c>
      <c r="Q85" s="2">
        <f t="shared" si="39"/>
        <v>-4.3333333333333331E-3</v>
      </c>
      <c r="R85" s="2">
        <f t="shared" si="40"/>
        <v>-5.8333333333333327E-2</v>
      </c>
      <c r="S85" s="2">
        <f t="shared" si="41"/>
        <v>2.8000000000000001E-2</v>
      </c>
      <c r="U85" s="2">
        <f t="shared" si="27"/>
        <v>2.0374081496325993E-2</v>
      </c>
      <c r="V85" s="2">
        <f t="shared" si="28"/>
        <v>1.6733601070950468E-2</v>
      </c>
      <c r="W85" s="2">
        <f t="shared" si="29"/>
        <v>2.0896528479946067E-2</v>
      </c>
      <c r="X85" s="2">
        <f t="shared" si="30"/>
        <v>5.6497175141242964E-3</v>
      </c>
      <c r="Y85" s="2">
        <f t="shared" si="31"/>
        <v>-9.6525096525096484E-4</v>
      </c>
      <c r="Z85" s="2">
        <f t="shared" si="32"/>
        <v>-4.1388092964024167E-3</v>
      </c>
      <c r="AA85" s="2">
        <f t="shared" si="33"/>
        <v>-5.8275058275058272E-2</v>
      </c>
      <c r="AB85" s="2">
        <f t="shared" si="34"/>
        <v>2.7944111776447102E-2</v>
      </c>
    </row>
    <row r="86" spans="1:28" x14ac:dyDescent="0.2">
      <c r="A86" t="s">
        <v>96</v>
      </c>
      <c r="B86" s="1" t="s">
        <v>95</v>
      </c>
      <c r="C86">
        <f>VLOOKUP($B86,gdp_cont!$A$2:$I$21,2,FALSE)</f>
        <v>6.0999999999999999E-2</v>
      </c>
      <c r="D86">
        <f>VLOOKUP($B86,gdp_cont!$A$2:$I$21,3,FALSE)</f>
        <v>0.05</v>
      </c>
      <c r="E86">
        <f>VLOOKUP($B86,gdp_cont!$A$2:$I$21,4,FALSE)</f>
        <v>6.2E-2</v>
      </c>
      <c r="F86">
        <f>VLOOKUP($B86,gdp_cont!$A$2:$I$21,5,FALSE)</f>
        <v>1.7000000000000001E-2</v>
      </c>
      <c r="G86">
        <f>VLOOKUP($B86,gdp_cont!$A$2:$I$21,6,FALSE)</f>
        <v>-3.0000000000000001E-3</v>
      </c>
      <c r="H86">
        <f>VLOOKUP($B86,gdp_cont!$A$2:$I$21,7,FALSE)</f>
        <v>-1.2999999999999999E-2</v>
      </c>
      <c r="I86">
        <f>VLOOKUP($B86,gdp_cont!$A$2:$I$21,8,FALSE)</f>
        <v>-0.17499999999999999</v>
      </c>
      <c r="J86">
        <f>VLOOKUP($B86,gdp_cont!$A$2:$I$21,9,FALSE)</f>
        <v>8.4000000000000005E-2</v>
      </c>
      <c r="L86" s="2">
        <f t="shared" si="42"/>
        <v>2.0333333333333332E-2</v>
      </c>
      <c r="M86" s="2">
        <f t="shared" si="35"/>
        <v>1.6666666666666666E-2</v>
      </c>
      <c r="N86" s="2">
        <f t="shared" si="36"/>
        <v>2.0666666666666667E-2</v>
      </c>
      <c r="O86" s="2">
        <f t="shared" si="37"/>
        <v>5.6666666666666671E-3</v>
      </c>
      <c r="P86" s="2">
        <f t="shared" si="38"/>
        <v>-1E-3</v>
      </c>
      <c r="Q86" s="2">
        <f t="shared" si="39"/>
        <v>-4.3333333333333331E-3</v>
      </c>
      <c r="R86" s="2">
        <f t="shared" si="40"/>
        <v>-5.8333333333333327E-2</v>
      </c>
      <c r="S86" s="2">
        <f t="shared" si="41"/>
        <v>2.8000000000000001E-2</v>
      </c>
      <c r="U86" s="2">
        <f t="shared" si="27"/>
        <v>2.0374081496325993E-2</v>
      </c>
      <c r="V86" s="2">
        <f t="shared" si="28"/>
        <v>1.6733601070950468E-2</v>
      </c>
      <c r="W86" s="2">
        <f t="shared" si="29"/>
        <v>2.0896528479946067E-2</v>
      </c>
      <c r="X86" s="2">
        <f t="shared" si="30"/>
        <v>5.6497175141242964E-3</v>
      </c>
      <c r="Y86" s="2">
        <f t="shared" si="31"/>
        <v>-9.6525096525096484E-4</v>
      </c>
      <c r="Z86" s="2">
        <f t="shared" si="32"/>
        <v>-4.1388092964024167E-3</v>
      </c>
      <c r="AA86" s="2">
        <f t="shared" si="33"/>
        <v>-5.8275058275058272E-2</v>
      </c>
      <c r="AB86" s="2">
        <f t="shared" si="34"/>
        <v>2.7944111776447102E-2</v>
      </c>
    </row>
    <row r="87" spans="1:28" x14ac:dyDescent="0.2">
      <c r="A87" t="s">
        <v>97</v>
      </c>
      <c r="B87" s="1" t="s">
        <v>98</v>
      </c>
      <c r="C87">
        <f>VLOOKUP($B87,gdp_cont!$A$2:$I$21,2,FALSE)</f>
        <v>0.14499999999999999</v>
      </c>
      <c r="D87">
        <f>VLOOKUP($B87,gdp_cont!$A$2:$I$21,3,FALSE)</f>
        <v>0.22600000000000001</v>
      </c>
      <c r="E87">
        <f>VLOOKUP($B87,gdp_cont!$A$2:$I$21,4,FALSE)</f>
        <v>0.106</v>
      </c>
      <c r="F87">
        <f>VLOOKUP($B87,gdp_cont!$A$2:$I$21,5,FALSE)</f>
        <v>4.3999999999999997E-2</v>
      </c>
      <c r="G87">
        <f>VLOOKUP($B87,gdp_cont!$A$2:$I$21,6,FALSE)</f>
        <v>8.3000000000000004E-2</v>
      </c>
      <c r="H87">
        <f>VLOOKUP($B87,gdp_cont!$A$2:$I$21,7,FALSE)</f>
        <v>0.12</v>
      </c>
      <c r="I87">
        <f>VLOOKUP($B87,gdp_cont!$A$2:$I$21,8,FALSE)</f>
        <v>0.17499999999999999</v>
      </c>
      <c r="J87">
        <f>VLOOKUP($B87,gdp_cont!$A$2:$I$21,9,FALSE)</f>
        <v>0.32600000000000001</v>
      </c>
      <c r="L87" s="2">
        <f t="shared" si="42"/>
        <v>1.8124999999999999E-2</v>
      </c>
      <c r="M87" s="2">
        <f t="shared" si="35"/>
        <v>2.8250000000000001E-2</v>
      </c>
      <c r="N87" s="2">
        <f t="shared" si="36"/>
        <v>1.325E-2</v>
      </c>
      <c r="O87" s="2">
        <f t="shared" si="37"/>
        <v>5.4999999999999997E-3</v>
      </c>
      <c r="P87" s="2">
        <f t="shared" si="38"/>
        <v>1.0375000000000001E-2</v>
      </c>
      <c r="Q87" s="2">
        <f t="shared" si="39"/>
        <v>1.4999999999999999E-2</v>
      </c>
      <c r="R87" s="2">
        <f t="shared" si="40"/>
        <v>2.1874999999999999E-2</v>
      </c>
      <c r="S87" s="2">
        <f t="shared" si="41"/>
        <v>4.0750000000000001E-2</v>
      </c>
      <c r="U87" s="2">
        <f t="shared" si="27"/>
        <v>1.8161322645290589E-2</v>
      </c>
      <c r="V87" s="2">
        <f t="shared" si="28"/>
        <v>2.8363453815261046E-2</v>
      </c>
      <c r="W87" s="2">
        <f t="shared" si="29"/>
        <v>1.3397371081900904E-2</v>
      </c>
      <c r="X87" s="2">
        <f t="shared" si="30"/>
        <v>5.483549351944169E-3</v>
      </c>
      <c r="Y87" s="2">
        <f t="shared" si="31"/>
        <v>1.001447876447876E-2</v>
      </c>
      <c r="Z87" s="2">
        <f t="shared" si="32"/>
        <v>1.4326647564469904E-2</v>
      </c>
      <c r="AA87" s="2">
        <f t="shared" si="33"/>
        <v>2.1853146853146856E-2</v>
      </c>
      <c r="AB87" s="2">
        <f t="shared" si="34"/>
        <v>4.0668662674650691E-2</v>
      </c>
    </row>
    <row r="88" spans="1:28" x14ac:dyDescent="0.2">
      <c r="A88" t="s">
        <v>99</v>
      </c>
      <c r="B88" s="1" t="s">
        <v>98</v>
      </c>
      <c r="C88">
        <f>VLOOKUP($B88,gdp_cont!$A$2:$I$21,2,FALSE)</f>
        <v>0.14499999999999999</v>
      </c>
      <c r="D88">
        <f>VLOOKUP($B88,gdp_cont!$A$2:$I$21,3,FALSE)</f>
        <v>0.22600000000000001</v>
      </c>
      <c r="E88">
        <f>VLOOKUP($B88,gdp_cont!$A$2:$I$21,4,FALSE)</f>
        <v>0.106</v>
      </c>
      <c r="F88">
        <f>VLOOKUP($B88,gdp_cont!$A$2:$I$21,5,FALSE)</f>
        <v>4.3999999999999997E-2</v>
      </c>
      <c r="G88">
        <f>VLOOKUP($B88,gdp_cont!$A$2:$I$21,6,FALSE)</f>
        <v>8.3000000000000004E-2</v>
      </c>
      <c r="H88">
        <f>VLOOKUP($B88,gdp_cont!$A$2:$I$21,7,FALSE)</f>
        <v>0.12</v>
      </c>
      <c r="I88">
        <f>VLOOKUP($B88,gdp_cont!$A$2:$I$21,8,FALSE)</f>
        <v>0.17499999999999999</v>
      </c>
      <c r="J88">
        <f>VLOOKUP($B88,gdp_cont!$A$2:$I$21,9,FALSE)</f>
        <v>0.32600000000000001</v>
      </c>
      <c r="L88" s="2">
        <f t="shared" si="42"/>
        <v>1.8124999999999999E-2</v>
      </c>
      <c r="M88" s="2">
        <f t="shared" si="35"/>
        <v>2.8250000000000001E-2</v>
      </c>
      <c r="N88" s="2">
        <f t="shared" si="36"/>
        <v>1.325E-2</v>
      </c>
      <c r="O88" s="2">
        <f t="shared" si="37"/>
        <v>5.4999999999999997E-3</v>
      </c>
      <c r="P88" s="2">
        <f t="shared" si="38"/>
        <v>1.0375000000000001E-2</v>
      </c>
      <c r="Q88" s="2">
        <f t="shared" si="39"/>
        <v>1.4999999999999999E-2</v>
      </c>
      <c r="R88" s="2">
        <f t="shared" si="40"/>
        <v>2.1874999999999999E-2</v>
      </c>
      <c r="S88" s="2">
        <f t="shared" si="41"/>
        <v>4.0750000000000001E-2</v>
      </c>
      <c r="U88" s="2">
        <f t="shared" si="27"/>
        <v>1.8161322645290589E-2</v>
      </c>
      <c r="V88" s="2">
        <f t="shared" si="28"/>
        <v>2.8363453815261046E-2</v>
      </c>
      <c r="W88" s="2">
        <f t="shared" si="29"/>
        <v>1.3397371081900904E-2</v>
      </c>
      <c r="X88" s="2">
        <f t="shared" si="30"/>
        <v>5.483549351944169E-3</v>
      </c>
      <c r="Y88" s="2">
        <f t="shared" si="31"/>
        <v>1.001447876447876E-2</v>
      </c>
      <c r="Z88" s="2">
        <f t="shared" si="32"/>
        <v>1.4326647564469904E-2</v>
      </c>
      <c r="AA88" s="2">
        <f t="shared" si="33"/>
        <v>2.1853146853146856E-2</v>
      </c>
      <c r="AB88" s="2">
        <f t="shared" si="34"/>
        <v>4.0668662674650691E-2</v>
      </c>
    </row>
    <row r="89" spans="1:28" x14ac:dyDescent="0.2">
      <c r="A89" t="s">
        <v>100</v>
      </c>
      <c r="B89" s="1" t="s">
        <v>98</v>
      </c>
      <c r="C89">
        <f>VLOOKUP($B89,gdp_cont!$A$2:$I$21,2,FALSE)</f>
        <v>0.14499999999999999</v>
      </c>
      <c r="D89">
        <f>VLOOKUP($B89,gdp_cont!$A$2:$I$21,3,FALSE)</f>
        <v>0.22600000000000001</v>
      </c>
      <c r="E89">
        <f>VLOOKUP($B89,gdp_cont!$A$2:$I$21,4,FALSE)</f>
        <v>0.106</v>
      </c>
      <c r="F89">
        <f>VLOOKUP($B89,gdp_cont!$A$2:$I$21,5,FALSE)</f>
        <v>4.3999999999999997E-2</v>
      </c>
      <c r="G89">
        <f>VLOOKUP($B89,gdp_cont!$A$2:$I$21,6,FALSE)</f>
        <v>8.3000000000000004E-2</v>
      </c>
      <c r="H89">
        <f>VLOOKUP($B89,gdp_cont!$A$2:$I$21,7,FALSE)</f>
        <v>0.12</v>
      </c>
      <c r="I89">
        <f>VLOOKUP($B89,gdp_cont!$A$2:$I$21,8,FALSE)</f>
        <v>0.17499999999999999</v>
      </c>
      <c r="J89">
        <f>VLOOKUP($B89,gdp_cont!$A$2:$I$21,9,FALSE)</f>
        <v>0.32600000000000001</v>
      </c>
      <c r="L89" s="2">
        <f t="shared" si="42"/>
        <v>1.8124999999999999E-2</v>
      </c>
      <c r="M89" s="2">
        <f t="shared" si="35"/>
        <v>2.8250000000000001E-2</v>
      </c>
      <c r="N89" s="2">
        <f t="shared" si="36"/>
        <v>1.325E-2</v>
      </c>
      <c r="O89" s="2">
        <f t="shared" si="37"/>
        <v>5.4999999999999997E-3</v>
      </c>
      <c r="P89" s="2">
        <f t="shared" si="38"/>
        <v>1.0375000000000001E-2</v>
      </c>
      <c r="Q89" s="2">
        <f t="shared" si="39"/>
        <v>1.4999999999999999E-2</v>
      </c>
      <c r="R89" s="2">
        <f t="shared" si="40"/>
        <v>2.1874999999999999E-2</v>
      </c>
      <c r="S89" s="2">
        <f t="shared" si="41"/>
        <v>4.0750000000000001E-2</v>
      </c>
      <c r="U89" s="2">
        <f t="shared" si="27"/>
        <v>1.8161322645290589E-2</v>
      </c>
      <c r="V89" s="2">
        <f t="shared" si="28"/>
        <v>2.8363453815261046E-2</v>
      </c>
      <c r="W89" s="2">
        <f t="shared" si="29"/>
        <v>1.3397371081900904E-2</v>
      </c>
      <c r="X89" s="2">
        <f t="shared" si="30"/>
        <v>5.483549351944169E-3</v>
      </c>
      <c r="Y89" s="2">
        <f t="shared" si="31"/>
        <v>1.001447876447876E-2</v>
      </c>
      <c r="Z89" s="2">
        <f t="shared" si="32"/>
        <v>1.4326647564469904E-2</v>
      </c>
      <c r="AA89" s="2">
        <f t="shared" si="33"/>
        <v>2.1853146853146856E-2</v>
      </c>
      <c r="AB89" s="2">
        <f t="shared" si="34"/>
        <v>4.0668662674650691E-2</v>
      </c>
    </row>
    <row r="90" spans="1:28" x14ac:dyDescent="0.2">
      <c r="A90" t="s">
        <v>101</v>
      </c>
      <c r="B90" s="1" t="s">
        <v>98</v>
      </c>
      <c r="C90">
        <f>VLOOKUP($B90,gdp_cont!$A$2:$I$21,2,FALSE)</f>
        <v>0.14499999999999999</v>
      </c>
      <c r="D90">
        <f>VLOOKUP($B90,gdp_cont!$A$2:$I$21,3,FALSE)</f>
        <v>0.22600000000000001</v>
      </c>
      <c r="E90">
        <f>VLOOKUP($B90,gdp_cont!$A$2:$I$21,4,FALSE)</f>
        <v>0.106</v>
      </c>
      <c r="F90">
        <f>VLOOKUP($B90,gdp_cont!$A$2:$I$21,5,FALSE)</f>
        <v>4.3999999999999997E-2</v>
      </c>
      <c r="G90">
        <f>VLOOKUP($B90,gdp_cont!$A$2:$I$21,6,FALSE)</f>
        <v>8.3000000000000004E-2</v>
      </c>
      <c r="H90">
        <f>VLOOKUP($B90,gdp_cont!$A$2:$I$21,7,FALSE)</f>
        <v>0.12</v>
      </c>
      <c r="I90">
        <f>VLOOKUP($B90,gdp_cont!$A$2:$I$21,8,FALSE)</f>
        <v>0.17499999999999999</v>
      </c>
      <c r="J90">
        <f>VLOOKUP($B90,gdp_cont!$A$2:$I$21,9,FALSE)</f>
        <v>0.32600000000000001</v>
      </c>
      <c r="L90" s="2">
        <f t="shared" si="42"/>
        <v>1.8124999999999999E-2</v>
      </c>
      <c r="M90" s="2">
        <f t="shared" si="35"/>
        <v>2.8250000000000001E-2</v>
      </c>
      <c r="N90" s="2">
        <f t="shared" si="36"/>
        <v>1.325E-2</v>
      </c>
      <c r="O90" s="2">
        <f t="shared" si="37"/>
        <v>5.4999999999999997E-3</v>
      </c>
      <c r="P90" s="2">
        <f t="shared" si="38"/>
        <v>1.0375000000000001E-2</v>
      </c>
      <c r="Q90" s="2">
        <f t="shared" si="39"/>
        <v>1.4999999999999999E-2</v>
      </c>
      <c r="R90" s="2">
        <f t="shared" si="40"/>
        <v>2.1874999999999999E-2</v>
      </c>
      <c r="S90" s="2">
        <f t="shared" si="41"/>
        <v>4.0750000000000001E-2</v>
      </c>
      <c r="U90" s="2">
        <f t="shared" si="27"/>
        <v>1.8161322645290589E-2</v>
      </c>
      <c r="V90" s="2">
        <f t="shared" si="28"/>
        <v>2.8363453815261046E-2</v>
      </c>
      <c r="W90" s="2">
        <f t="shared" si="29"/>
        <v>1.3397371081900904E-2</v>
      </c>
      <c r="X90" s="2">
        <f t="shared" si="30"/>
        <v>5.483549351944169E-3</v>
      </c>
      <c r="Y90" s="2">
        <f t="shared" si="31"/>
        <v>1.001447876447876E-2</v>
      </c>
      <c r="Z90" s="2">
        <f t="shared" si="32"/>
        <v>1.4326647564469904E-2</v>
      </c>
      <c r="AA90" s="2">
        <f t="shared" si="33"/>
        <v>2.1853146853146856E-2</v>
      </c>
      <c r="AB90" s="2">
        <f t="shared" si="34"/>
        <v>4.0668662674650691E-2</v>
      </c>
    </row>
    <row r="91" spans="1:28" x14ac:dyDescent="0.2">
      <c r="A91" t="s">
        <v>102</v>
      </c>
      <c r="B91" s="1" t="s">
        <v>98</v>
      </c>
      <c r="C91">
        <f>VLOOKUP($B91,gdp_cont!$A$2:$I$21,2,FALSE)</f>
        <v>0.14499999999999999</v>
      </c>
      <c r="D91">
        <f>VLOOKUP($B91,gdp_cont!$A$2:$I$21,3,FALSE)</f>
        <v>0.22600000000000001</v>
      </c>
      <c r="E91">
        <f>VLOOKUP($B91,gdp_cont!$A$2:$I$21,4,FALSE)</f>
        <v>0.106</v>
      </c>
      <c r="F91">
        <f>VLOOKUP($B91,gdp_cont!$A$2:$I$21,5,FALSE)</f>
        <v>4.3999999999999997E-2</v>
      </c>
      <c r="G91">
        <f>VLOOKUP($B91,gdp_cont!$A$2:$I$21,6,FALSE)</f>
        <v>8.3000000000000004E-2</v>
      </c>
      <c r="H91">
        <f>VLOOKUP($B91,gdp_cont!$A$2:$I$21,7,FALSE)</f>
        <v>0.12</v>
      </c>
      <c r="I91">
        <f>VLOOKUP($B91,gdp_cont!$A$2:$I$21,8,FALSE)</f>
        <v>0.17499999999999999</v>
      </c>
      <c r="J91">
        <f>VLOOKUP($B91,gdp_cont!$A$2:$I$21,9,FALSE)</f>
        <v>0.32600000000000001</v>
      </c>
      <c r="L91" s="2">
        <f t="shared" si="42"/>
        <v>1.8124999999999999E-2</v>
      </c>
      <c r="M91" s="2">
        <f t="shared" si="35"/>
        <v>2.8250000000000001E-2</v>
      </c>
      <c r="N91" s="2">
        <f t="shared" si="36"/>
        <v>1.325E-2</v>
      </c>
      <c r="O91" s="2">
        <f t="shared" si="37"/>
        <v>5.4999999999999997E-3</v>
      </c>
      <c r="P91" s="2">
        <f t="shared" si="38"/>
        <v>1.0375000000000001E-2</v>
      </c>
      <c r="Q91" s="2">
        <f t="shared" si="39"/>
        <v>1.4999999999999999E-2</v>
      </c>
      <c r="R91" s="2">
        <f t="shared" si="40"/>
        <v>2.1874999999999999E-2</v>
      </c>
      <c r="S91" s="2">
        <f t="shared" si="41"/>
        <v>4.0750000000000001E-2</v>
      </c>
      <c r="U91" s="2">
        <f t="shared" si="27"/>
        <v>1.8161322645290589E-2</v>
      </c>
      <c r="V91" s="2">
        <f t="shared" si="28"/>
        <v>2.8363453815261046E-2</v>
      </c>
      <c r="W91" s="2">
        <f t="shared" si="29"/>
        <v>1.3397371081900904E-2</v>
      </c>
      <c r="X91" s="2">
        <f t="shared" si="30"/>
        <v>5.483549351944169E-3</v>
      </c>
      <c r="Y91" s="2">
        <f t="shared" si="31"/>
        <v>1.001447876447876E-2</v>
      </c>
      <c r="Z91" s="2">
        <f t="shared" si="32"/>
        <v>1.4326647564469904E-2</v>
      </c>
      <c r="AA91" s="2">
        <f t="shared" si="33"/>
        <v>2.1853146853146856E-2</v>
      </c>
      <c r="AB91" s="2">
        <f t="shared" si="34"/>
        <v>4.0668662674650691E-2</v>
      </c>
    </row>
    <row r="92" spans="1:28" x14ac:dyDescent="0.2">
      <c r="A92" t="s">
        <v>103</v>
      </c>
      <c r="B92" s="1" t="s">
        <v>98</v>
      </c>
      <c r="C92">
        <f>VLOOKUP($B92,gdp_cont!$A$2:$I$21,2,FALSE)</f>
        <v>0.14499999999999999</v>
      </c>
      <c r="D92">
        <f>VLOOKUP($B92,gdp_cont!$A$2:$I$21,3,FALSE)</f>
        <v>0.22600000000000001</v>
      </c>
      <c r="E92">
        <f>VLOOKUP($B92,gdp_cont!$A$2:$I$21,4,FALSE)</f>
        <v>0.106</v>
      </c>
      <c r="F92">
        <f>VLOOKUP($B92,gdp_cont!$A$2:$I$21,5,FALSE)</f>
        <v>4.3999999999999997E-2</v>
      </c>
      <c r="G92">
        <f>VLOOKUP($B92,gdp_cont!$A$2:$I$21,6,FALSE)</f>
        <v>8.3000000000000004E-2</v>
      </c>
      <c r="H92">
        <f>VLOOKUP($B92,gdp_cont!$A$2:$I$21,7,FALSE)</f>
        <v>0.12</v>
      </c>
      <c r="I92">
        <f>VLOOKUP($B92,gdp_cont!$A$2:$I$21,8,FALSE)</f>
        <v>0.17499999999999999</v>
      </c>
      <c r="J92">
        <f>VLOOKUP($B92,gdp_cont!$A$2:$I$21,9,FALSE)</f>
        <v>0.32600000000000001</v>
      </c>
      <c r="L92" s="2">
        <f t="shared" si="42"/>
        <v>1.8124999999999999E-2</v>
      </c>
      <c r="M92" s="2">
        <f t="shared" si="35"/>
        <v>2.8250000000000001E-2</v>
      </c>
      <c r="N92" s="2">
        <f t="shared" si="36"/>
        <v>1.325E-2</v>
      </c>
      <c r="O92" s="2">
        <f t="shared" si="37"/>
        <v>5.4999999999999997E-3</v>
      </c>
      <c r="P92" s="2">
        <f t="shared" si="38"/>
        <v>1.0375000000000001E-2</v>
      </c>
      <c r="Q92" s="2">
        <f t="shared" si="39"/>
        <v>1.4999999999999999E-2</v>
      </c>
      <c r="R92" s="2">
        <f t="shared" si="40"/>
        <v>2.1874999999999999E-2</v>
      </c>
      <c r="S92" s="2">
        <f t="shared" si="41"/>
        <v>4.0750000000000001E-2</v>
      </c>
      <c r="U92" s="2">
        <f t="shared" si="27"/>
        <v>1.8161322645290589E-2</v>
      </c>
      <c r="V92" s="2">
        <f t="shared" si="28"/>
        <v>2.8363453815261046E-2</v>
      </c>
      <c r="W92" s="2">
        <f t="shared" si="29"/>
        <v>1.3397371081900904E-2</v>
      </c>
      <c r="X92" s="2">
        <f t="shared" si="30"/>
        <v>5.483549351944169E-3</v>
      </c>
      <c r="Y92" s="2">
        <f t="shared" si="31"/>
        <v>1.001447876447876E-2</v>
      </c>
      <c r="Z92" s="2">
        <f t="shared" si="32"/>
        <v>1.4326647564469904E-2</v>
      </c>
      <c r="AA92" s="2">
        <f t="shared" si="33"/>
        <v>2.1853146853146856E-2</v>
      </c>
      <c r="AB92" s="2">
        <f t="shared" si="34"/>
        <v>4.0668662674650691E-2</v>
      </c>
    </row>
    <row r="93" spans="1:28" x14ac:dyDescent="0.2">
      <c r="A93" t="s">
        <v>104</v>
      </c>
      <c r="B93" s="1" t="s">
        <v>98</v>
      </c>
      <c r="C93">
        <f>VLOOKUP($B93,gdp_cont!$A$2:$I$21,2,FALSE)</f>
        <v>0.14499999999999999</v>
      </c>
      <c r="D93">
        <f>VLOOKUP($B93,gdp_cont!$A$2:$I$21,3,FALSE)</f>
        <v>0.22600000000000001</v>
      </c>
      <c r="E93">
        <f>VLOOKUP($B93,gdp_cont!$A$2:$I$21,4,FALSE)</f>
        <v>0.106</v>
      </c>
      <c r="F93">
        <f>VLOOKUP($B93,gdp_cont!$A$2:$I$21,5,FALSE)</f>
        <v>4.3999999999999997E-2</v>
      </c>
      <c r="G93">
        <f>VLOOKUP($B93,gdp_cont!$A$2:$I$21,6,FALSE)</f>
        <v>8.3000000000000004E-2</v>
      </c>
      <c r="H93">
        <f>VLOOKUP($B93,gdp_cont!$A$2:$I$21,7,FALSE)</f>
        <v>0.12</v>
      </c>
      <c r="I93">
        <f>VLOOKUP($B93,gdp_cont!$A$2:$I$21,8,FALSE)</f>
        <v>0.17499999999999999</v>
      </c>
      <c r="J93">
        <f>VLOOKUP($B93,gdp_cont!$A$2:$I$21,9,FALSE)</f>
        <v>0.32600000000000001</v>
      </c>
      <c r="L93" s="2">
        <f t="shared" si="42"/>
        <v>1.8124999999999999E-2</v>
      </c>
      <c r="M93" s="2">
        <f t="shared" si="35"/>
        <v>2.8250000000000001E-2</v>
      </c>
      <c r="N93" s="2">
        <f t="shared" si="36"/>
        <v>1.325E-2</v>
      </c>
      <c r="O93" s="2">
        <f t="shared" si="37"/>
        <v>5.4999999999999997E-3</v>
      </c>
      <c r="P93" s="2">
        <f t="shared" si="38"/>
        <v>1.0375000000000001E-2</v>
      </c>
      <c r="Q93" s="2">
        <f t="shared" si="39"/>
        <v>1.4999999999999999E-2</v>
      </c>
      <c r="R93" s="2">
        <f t="shared" si="40"/>
        <v>2.1874999999999999E-2</v>
      </c>
      <c r="S93" s="2">
        <f t="shared" si="41"/>
        <v>4.0750000000000001E-2</v>
      </c>
      <c r="U93" s="2">
        <f t="shared" si="27"/>
        <v>1.8161322645290589E-2</v>
      </c>
      <c r="V93" s="2">
        <f t="shared" si="28"/>
        <v>2.8363453815261046E-2</v>
      </c>
      <c r="W93" s="2">
        <f t="shared" si="29"/>
        <v>1.3397371081900904E-2</v>
      </c>
      <c r="X93" s="2">
        <f t="shared" si="30"/>
        <v>5.483549351944169E-3</v>
      </c>
      <c r="Y93" s="2">
        <f t="shared" si="31"/>
        <v>1.001447876447876E-2</v>
      </c>
      <c r="Z93" s="2">
        <f t="shared" si="32"/>
        <v>1.4326647564469904E-2</v>
      </c>
      <c r="AA93" s="2">
        <f t="shared" si="33"/>
        <v>2.1853146853146856E-2</v>
      </c>
      <c r="AB93" s="2">
        <f t="shared" si="34"/>
        <v>4.0668662674650691E-2</v>
      </c>
    </row>
    <row r="94" spans="1:28" x14ac:dyDescent="0.2">
      <c r="A94" t="s">
        <v>105</v>
      </c>
      <c r="B94" s="1" t="s">
        <v>98</v>
      </c>
      <c r="C94">
        <f>VLOOKUP($B94,gdp_cont!$A$2:$I$21,2,FALSE)</f>
        <v>0.14499999999999999</v>
      </c>
      <c r="D94">
        <f>VLOOKUP($B94,gdp_cont!$A$2:$I$21,3,FALSE)</f>
        <v>0.22600000000000001</v>
      </c>
      <c r="E94">
        <f>VLOOKUP($B94,gdp_cont!$A$2:$I$21,4,FALSE)</f>
        <v>0.106</v>
      </c>
      <c r="F94">
        <f>VLOOKUP($B94,gdp_cont!$A$2:$I$21,5,FALSE)</f>
        <v>4.3999999999999997E-2</v>
      </c>
      <c r="G94">
        <f>VLOOKUP($B94,gdp_cont!$A$2:$I$21,6,FALSE)</f>
        <v>8.3000000000000004E-2</v>
      </c>
      <c r="H94">
        <f>VLOOKUP($B94,gdp_cont!$A$2:$I$21,7,FALSE)</f>
        <v>0.12</v>
      </c>
      <c r="I94">
        <f>VLOOKUP($B94,gdp_cont!$A$2:$I$21,8,FALSE)</f>
        <v>0.17499999999999999</v>
      </c>
      <c r="J94">
        <f>VLOOKUP($B94,gdp_cont!$A$2:$I$21,9,FALSE)</f>
        <v>0.32600000000000001</v>
      </c>
      <c r="L94" s="2">
        <f t="shared" si="42"/>
        <v>1.8124999999999999E-2</v>
      </c>
      <c r="M94" s="2">
        <f t="shared" si="35"/>
        <v>2.8250000000000001E-2</v>
      </c>
      <c r="N94" s="2">
        <f t="shared" si="36"/>
        <v>1.325E-2</v>
      </c>
      <c r="O94" s="2">
        <f t="shared" si="37"/>
        <v>5.4999999999999997E-3</v>
      </c>
      <c r="P94" s="2">
        <f t="shared" si="38"/>
        <v>1.0375000000000001E-2</v>
      </c>
      <c r="Q94" s="2">
        <f t="shared" si="39"/>
        <v>1.4999999999999999E-2</v>
      </c>
      <c r="R94" s="2">
        <f t="shared" si="40"/>
        <v>2.1874999999999999E-2</v>
      </c>
      <c r="S94" s="2">
        <f t="shared" si="41"/>
        <v>4.0750000000000001E-2</v>
      </c>
      <c r="U94" s="2">
        <f t="shared" si="27"/>
        <v>1.8161322645290589E-2</v>
      </c>
      <c r="V94" s="2">
        <f t="shared" si="28"/>
        <v>2.8363453815261046E-2</v>
      </c>
      <c r="W94" s="2">
        <f t="shared" si="29"/>
        <v>1.3397371081900904E-2</v>
      </c>
      <c r="X94" s="2">
        <f t="shared" si="30"/>
        <v>5.483549351944169E-3</v>
      </c>
      <c r="Y94" s="2">
        <f t="shared" si="31"/>
        <v>1.001447876447876E-2</v>
      </c>
      <c r="Z94" s="2">
        <f t="shared" si="32"/>
        <v>1.4326647564469904E-2</v>
      </c>
      <c r="AA94" s="2">
        <f t="shared" si="33"/>
        <v>2.1853146853146856E-2</v>
      </c>
      <c r="AB94" s="2">
        <f t="shared" si="34"/>
        <v>4.0668662674650691E-2</v>
      </c>
    </row>
    <row r="95" spans="1:28" x14ac:dyDescent="0.2">
      <c r="A95" t="s">
        <v>106</v>
      </c>
      <c r="B95" s="1" t="s">
        <v>107</v>
      </c>
      <c r="C95">
        <f>VLOOKUP($B95,gdp_cont!$A$2:$I$21,2,FALSE)</f>
        <v>8.8999999999999996E-2</v>
      </c>
      <c r="D95">
        <f>VLOOKUP($B95,gdp_cont!$A$2:$I$21,3,FALSE)</f>
        <v>0.123</v>
      </c>
      <c r="E95">
        <f>VLOOKUP($B95,gdp_cont!$A$2:$I$21,4,FALSE)</f>
        <v>9.6000000000000002E-2</v>
      </c>
      <c r="F95">
        <f>VLOOKUP($B95,gdp_cont!$A$2:$I$21,5,FALSE)</f>
        <v>0.104</v>
      </c>
      <c r="G95">
        <f>VLOOKUP($B95,gdp_cont!$A$2:$I$21,6,FALSE)</f>
        <v>5.1999999999999998E-2</v>
      </c>
      <c r="H95">
        <f>VLOOKUP($B95,gdp_cont!$A$2:$I$21,7,FALSE)</f>
        <v>0.17499999999999999</v>
      </c>
      <c r="I95">
        <f>VLOOKUP($B95,gdp_cont!$A$2:$I$21,8,FALSE)</f>
        <v>0.8</v>
      </c>
      <c r="J95">
        <f>VLOOKUP($B95,gdp_cont!$A$2:$I$21,9,FALSE)</f>
        <v>0.17100000000000001</v>
      </c>
      <c r="L95" s="2">
        <f t="shared" si="42"/>
        <v>1.4833333333333332E-2</v>
      </c>
      <c r="M95" s="2">
        <f t="shared" si="35"/>
        <v>2.0500000000000001E-2</v>
      </c>
      <c r="N95" s="2">
        <f t="shared" si="36"/>
        <v>1.6E-2</v>
      </c>
      <c r="O95" s="2">
        <f t="shared" si="37"/>
        <v>1.7333333333333333E-2</v>
      </c>
      <c r="P95" s="2">
        <f t="shared" si="38"/>
        <v>8.6666666666666663E-3</v>
      </c>
      <c r="Q95" s="2">
        <f t="shared" si="39"/>
        <v>2.9166666666666664E-2</v>
      </c>
      <c r="R95" s="2">
        <f t="shared" si="40"/>
        <v>0.13333333333333333</v>
      </c>
      <c r="S95" s="2">
        <f t="shared" si="41"/>
        <v>2.8500000000000001E-2</v>
      </c>
      <c r="U95" s="2">
        <f t="shared" si="27"/>
        <v>1.4863059452237815E-2</v>
      </c>
      <c r="V95" s="2">
        <f t="shared" si="28"/>
        <v>2.0582329317269079E-2</v>
      </c>
      <c r="W95" s="2">
        <f t="shared" si="29"/>
        <v>1.617795753286147E-2</v>
      </c>
      <c r="X95" s="2">
        <f t="shared" si="30"/>
        <v>1.7281488866733138E-2</v>
      </c>
      <c r="Y95" s="2">
        <f t="shared" si="31"/>
        <v>8.3655083655083621E-3</v>
      </c>
      <c r="Z95" s="2">
        <f t="shared" si="32"/>
        <v>2.7857370264247037E-2</v>
      </c>
      <c r="AA95" s="2">
        <f t="shared" si="33"/>
        <v>0.13320013320013321</v>
      </c>
      <c r="AB95" s="2">
        <f t="shared" si="34"/>
        <v>2.8443113772455085E-2</v>
      </c>
    </row>
    <row r="96" spans="1:28" x14ac:dyDescent="0.2">
      <c r="A96" t="s">
        <v>108</v>
      </c>
      <c r="B96" s="1" t="s">
        <v>107</v>
      </c>
      <c r="C96">
        <f>VLOOKUP($B96,gdp_cont!$A$2:$I$21,2,FALSE)</f>
        <v>8.8999999999999996E-2</v>
      </c>
      <c r="D96">
        <f>VLOOKUP($B96,gdp_cont!$A$2:$I$21,3,FALSE)</f>
        <v>0.123</v>
      </c>
      <c r="E96">
        <f>VLOOKUP($B96,gdp_cont!$A$2:$I$21,4,FALSE)</f>
        <v>9.6000000000000002E-2</v>
      </c>
      <c r="F96">
        <f>VLOOKUP($B96,gdp_cont!$A$2:$I$21,5,FALSE)</f>
        <v>0.104</v>
      </c>
      <c r="G96">
        <f>VLOOKUP($B96,gdp_cont!$A$2:$I$21,6,FALSE)</f>
        <v>5.1999999999999998E-2</v>
      </c>
      <c r="H96">
        <f>VLOOKUP($B96,gdp_cont!$A$2:$I$21,7,FALSE)</f>
        <v>0.17499999999999999</v>
      </c>
      <c r="I96">
        <f>VLOOKUP($B96,gdp_cont!$A$2:$I$21,8,FALSE)</f>
        <v>0.8</v>
      </c>
      <c r="J96">
        <f>VLOOKUP($B96,gdp_cont!$A$2:$I$21,9,FALSE)</f>
        <v>0.17100000000000001</v>
      </c>
      <c r="L96" s="2">
        <f t="shared" si="42"/>
        <v>1.4833333333333332E-2</v>
      </c>
      <c r="M96" s="2">
        <f t="shared" si="35"/>
        <v>2.0500000000000001E-2</v>
      </c>
      <c r="N96" s="2">
        <f t="shared" si="36"/>
        <v>1.6E-2</v>
      </c>
      <c r="O96" s="2">
        <f t="shared" si="37"/>
        <v>1.7333333333333333E-2</v>
      </c>
      <c r="P96" s="2">
        <f t="shared" si="38"/>
        <v>8.6666666666666663E-3</v>
      </c>
      <c r="Q96" s="2">
        <f t="shared" si="39"/>
        <v>2.9166666666666664E-2</v>
      </c>
      <c r="R96" s="2">
        <f t="shared" si="40"/>
        <v>0.13333333333333333</v>
      </c>
      <c r="S96" s="2">
        <f t="shared" si="41"/>
        <v>2.8500000000000001E-2</v>
      </c>
      <c r="U96" s="2">
        <f t="shared" si="27"/>
        <v>1.4863059452237815E-2</v>
      </c>
      <c r="V96" s="2">
        <f t="shared" si="28"/>
        <v>2.0582329317269079E-2</v>
      </c>
      <c r="W96" s="2">
        <f t="shared" si="29"/>
        <v>1.617795753286147E-2</v>
      </c>
      <c r="X96" s="2">
        <f t="shared" si="30"/>
        <v>1.7281488866733138E-2</v>
      </c>
      <c r="Y96" s="2">
        <f t="shared" si="31"/>
        <v>8.3655083655083621E-3</v>
      </c>
      <c r="Z96" s="2">
        <f t="shared" si="32"/>
        <v>2.7857370264247037E-2</v>
      </c>
      <c r="AA96" s="2">
        <f t="shared" si="33"/>
        <v>0.13320013320013321</v>
      </c>
      <c r="AB96" s="2">
        <f t="shared" si="34"/>
        <v>2.8443113772455085E-2</v>
      </c>
    </row>
    <row r="97" spans="1:28" x14ac:dyDescent="0.2">
      <c r="A97" t="s">
        <v>109</v>
      </c>
      <c r="B97" s="1" t="s">
        <v>107</v>
      </c>
      <c r="C97">
        <f>VLOOKUP($B97,gdp_cont!$A$2:$I$21,2,FALSE)</f>
        <v>8.8999999999999996E-2</v>
      </c>
      <c r="D97">
        <f>VLOOKUP($B97,gdp_cont!$A$2:$I$21,3,FALSE)</f>
        <v>0.123</v>
      </c>
      <c r="E97">
        <f>VLOOKUP($B97,gdp_cont!$A$2:$I$21,4,FALSE)</f>
        <v>9.6000000000000002E-2</v>
      </c>
      <c r="F97">
        <f>VLOOKUP($B97,gdp_cont!$A$2:$I$21,5,FALSE)</f>
        <v>0.104</v>
      </c>
      <c r="G97">
        <f>VLOOKUP($B97,gdp_cont!$A$2:$I$21,6,FALSE)</f>
        <v>5.1999999999999998E-2</v>
      </c>
      <c r="H97">
        <f>VLOOKUP($B97,gdp_cont!$A$2:$I$21,7,FALSE)</f>
        <v>0.17499999999999999</v>
      </c>
      <c r="I97">
        <f>VLOOKUP($B97,gdp_cont!$A$2:$I$21,8,FALSE)</f>
        <v>0.8</v>
      </c>
      <c r="J97">
        <f>VLOOKUP($B97,gdp_cont!$A$2:$I$21,9,FALSE)</f>
        <v>0.17100000000000001</v>
      </c>
      <c r="L97" s="2">
        <f t="shared" si="42"/>
        <v>1.4833333333333332E-2</v>
      </c>
      <c r="M97" s="2">
        <f t="shared" si="35"/>
        <v>2.0500000000000001E-2</v>
      </c>
      <c r="N97" s="2">
        <f t="shared" si="36"/>
        <v>1.6E-2</v>
      </c>
      <c r="O97" s="2">
        <f t="shared" si="37"/>
        <v>1.7333333333333333E-2</v>
      </c>
      <c r="P97" s="2">
        <f t="shared" si="38"/>
        <v>8.6666666666666663E-3</v>
      </c>
      <c r="Q97" s="2">
        <f t="shared" si="39"/>
        <v>2.9166666666666664E-2</v>
      </c>
      <c r="R97" s="2">
        <f t="shared" si="40"/>
        <v>0.13333333333333333</v>
      </c>
      <c r="S97" s="2">
        <f t="shared" si="41"/>
        <v>2.8500000000000001E-2</v>
      </c>
      <c r="U97" s="2">
        <f t="shared" si="27"/>
        <v>1.4863059452237815E-2</v>
      </c>
      <c r="V97" s="2">
        <f t="shared" si="28"/>
        <v>2.0582329317269079E-2</v>
      </c>
      <c r="W97" s="2">
        <f t="shared" si="29"/>
        <v>1.617795753286147E-2</v>
      </c>
      <c r="X97" s="2">
        <f t="shared" si="30"/>
        <v>1.7281488866733138E-2</v>
      </c>
      <c r="Y97" s="2">
        <f t="shared" si="31"/>
        <v>8.3655083655083621E-3</v>
      </c>
      <c r="Z97" s="2">
        <f t="shared" si="32"/>
        <v>2.7857370264247037E-2</v>
      </c>
      <c r="AA97" s="2">
        <f t="shared" si="33"/>
        <v>0.13320013320013321</v>
      </c>
      <c r="AB97" s="2">
        <f t="shared" si="34"/>
        <v>2.8443113772455085E-2</v>
      </c>
    </row>
    <row r="98" spans="1:28" x14ac:dyDescent="0.2">
      <c r="A98" t="s">
        <v>110</v>
      </c>
      <c r="B98" s="1" t="s">
        <v>107</v>
      </c>
      <c r="C98">
        <f>VLOOKUP($B98,gdp_cont!$A$2:$I$21,2,FALSE)</f>
        <v>8.8999999999999996E-2</v>
      </c>
      <c r="D98">
        <f>VLOOKUP($B98,gdp_cont!$A$2:$I$21,3,FALSE)</f>
        <v>0.123</v>
      </c>
      <c r="E98">
        <f>VLOOKUP($B98,gdp_cont!$A$2:$I$21,4,FALSE)</f>
        <v>9.6000000000000002E-2</v>
      </c>
      <c r="F98">
        <f>VLOOKUP($B98,gdp_cont!$A$2:$I$21,5,FALSE)</f>
        <v>0.104</v>
      </c>
      <c r="G98">
        <f>VLOOKUP($B98,gdp_cont!$A$2:$I$21,6,FALSE)</f>
        <v>5.1999999999999998E-2</v>
      </c>
      <c r="H98">
        <f>VLOOKUP($B98,gdp_cont!$A$2:$I$21,7,FALSE)</f>
        <v>0.17499999999999999</v>
      </c>
      <c r="I98">
        <f>VLOOKUP($B98,gdp_cont!$A$2:$I$21,8,FALSE)</f>
        <v>0.8</v>
      </c>
      <c r="J98">
        <f>VLOOKUP($B98,gdp_cont!$A$2:$I$21,9,FALSE)</f>
        <v>0.17100000000000001</v>
      </c>
      <c r="L98" s="2">
        <f t="shared" si="42"/>
        <v>1.4833333333333332E-2</v>
      </c>
      <c r="M98" s="2">
        <f t="shared" si="35"/>
        <v>2.0500000000000001E-2</v>
      </c>
      <c r="N98" s="2">
        <f t="shared" si="36"/>
        <v>1.6E-2</v>
      </c>
      <c r="O98" s="2">
        <f t="shared" si="37"/>
        <v>1.7333333333333333E-2</v>
      </c>
      <c r="P98" s="2">
        <f t="shared" si="38"/>
        <v>8.6666666666666663E-3</v>
      </c>
      <c r="Q98" s="2">
        <f t="shared" si="39"/>
        <v>2.9166666666666664E-2</v>
      </c>
      <c r="R98" s="2">
        <f t="shared" si="40"/>
        <v>0.13333333333333333</v>
      </c>
      <c r="S98" s="2">
        <f t="shared" si="41"/>
        <v>2.8500000000000001E-2</v>
      </c>
      <c r="U98" s="2">
        <f t="shared" si="27"/>
        <v>1.4863059452237815E-2</v>
      </c>
      <c r="V98" s="2">
        <f t="shared" si="28"/>
        <v>2.0582329317269079E-2</v>
      </c>
      <c r="W98" s="2">
        <f t="shared" si="29"/>
        <v>1.617795753286147E-2</v>
      </c>
      <c r="X98" s="2">
        <f t="shared" si="30"/>
        <v>1.7281488866733138E-2</v>
      </c>
      <c r="Y98" s="2">
        <f t="shared" si="31"/>
        <v>8.3655083655083621E-3</v>
      </c>
      <c r="Z98" s="2">
        <f t="shared" si="32"/>
        <v>2.7857370264247037E-2</v>
      </c>
      <c r="AA98" s="2">
        <f t="shared" si="33"/>
        <v>0.13320013320013321</v>
      </c>
      <c r="AB98" s="2">
        <f t="shared" si="34"/>
        <v>2.8443113772455085E-2</v>
      </c>
    </row>
    <row r="99" spans="1:28" x14ac:dyDescent="0.2">
      <c r="A99" t="s">
        <v>111</v>
      </c>
      <c r="B99" s="1" t="s">
        <v>107</v>
      </c>
      <c r="C99">
        <f>VLOOKUP($B99,gdp_cont!$A$2:$I$21,2,FALSE)</f>
        <v>8.8999999999999996E-2</v>
      </c>
      <c r="D99">
        <f>VLOOKUP($B99,gdp_cont!$A$2:$I$21,3,FALSE)</f>
        <v>0.123</v>
      </c>
      <c r="E99">
        <f>VLOOKUP($B99,gdp_cont!$A$2:$I$21,4,FALSE)</f>
        <v>9.6000000000000002E-2</v>
      </c>
      <c r="F99">
        <f>VLOOKUP($B99,gdp_cont!$A$2:$I$21,5,FALSE)</f>
        <v>0.104</v>
      </c>
      <c r="G99">
        <f>VLOOKUP($B99,gdp_cont!$A$2:$I$21,6,FALSE)</f>
        <v>5.1999999999999998E-2</v>
      </c>
      <c r="H99">
        <f>VLOOKUP($B99,gdp_cont!$A$2:$I$21,7,FALSE)</f>
        <v>0.17499999999999999</v>
      </c>
      <c r="I99">
        <f>VLOOKUP($B99,gdp_cont!$A$2:$I$21,8,FALSE)</f>
        <v>0.8</v>
      </c>
      <c r="J99">
        <f>VLOOKUP($B99,gdp_cont!$A$2:$I$21,9,FALSE)</f>
        <v>0.17100000000000001</v>
      </c>
      <c r="L99" s="2">
        <f t="shared" si="42"/>
        <v>1.4833333333333332E-2</v>
      </c>
      <c r="M99" s="2">
        <f t="shared" si="35"/>
        <v>2.0500000000000001E-2</v>
      </c>
      <c r="N99" s="2">
        <f t="shared" si="36"/>
        <v>1.6E-2</v>
      </c>
      <c r="O99" s="2">
        <f t="shared" si="37"/>
        <v>1.7333333333333333E-2</v>
      </c>
      <c r="P99" s="2">
        <f t="shared" si="38"/>
        <v>8.6666666666666663E-3</v>
      </c>
      <c r="Q99" s="2">
        <f t="shared" si="39"/>
        <v>2.9166666666666664E-2</v>
      </c>
      <c r="R99" s="2">
        <f t="shared" si="40"/>
        <v>0.13333333333333333</v>
      </c>
      <c r="S99" s="2">
        <f t="shared" si="41"/>
        <v>2.8500000000000001E-2</v>
      </c>
      <c r="U99" s="2">
        <f t="shared" si="27"/>
        <v>1.4863059452237815E-2</v>
      </c>
      <c r="V99" s="2">
        <f t="shared" si="28"/>
        <v>2.0582329317269079E-2</v>
      </c>
      <c r="W99" s="2">
        <f t="shared" si="29"/>
        <v>1.617795753286147E-2</v>
      </c>
      <c r="X99" s="2">
        <f t="shared" si="30"/>
        <v>1.7281488866733138E-2</v>
      </c>
      <c r="Y99" s="2">
        <f t="shared" si="31"/>
        <v>8.3655083655083621E-3</v>
      </c>
      <c r="Z99" s="2">
        <f t="shared" si="32"/>
        <v>2.7857370264247037E-2</v>
      </c>
      <c r="AA99" s="2">
        <f t="shared" si="33"/>
        <v>0.13320013320013321</v>
      </c>
      <c r="AB99" s="2">
        <f t="shared" si="34"/>
        <v>2.8443113772455085E-2</v>
      </c>
    </row>
    <row r="100" spans="1:28" x14ac:dyDescent="0.2">
      <c r="A100" t="s">
        <v>112</v>
      </c>
      <c r="B100" s="1" t="s">
        <v>107</v>
      </c>
      <c r="C100">
        <f>VLOOKUP($B100,gdp_cont!$A$2:$I$21,2,FALSE)</f>
        <v>8.8999999999999996E-2</v>
      </c>
      <c r="D100">
        <f>VLOOKUP($B100,gdp_cont!$A$2:$I$21,3,FALSE)</f>
        <v>0.123</v>
      </c>
      <c r="E100">
        <f>VLOOKUP($B100,gdp_cont!$A$2:$I$21,4,FALSE)</f>
        <v>9.6000000000000002E-2</v>
      </c>
      <c r="F100">
        <f>VLOOKUP($B100,gdp_cont!$A$2:$I$21,5,FALSE)</f>
        <v>0.104</v>
      </c>
      <c r="G100">
        <f>VLOOKUP($B100,gdp_cont!$A$2:$I$21,6,FALSE)</f>
        <v>5.1999999999999998E-2</v>
      </c>
      <c r="H100">
        <f>VLOOKUP($B100,gdp_cont!$A$2:$I$21,7,FALSE)</f>
        <v>0.17499999999999999</v>
      </c>
      <c r="I100">
        <f>VLOOKUP($B100,gdp_cont!$A$2:$I$21,8,FALSE)</f>
        <v>0.8</v>
      </c>
      <c r="J100">
        <f>VLOOKUP($B100,gdp_cont!$A$2:$I$21,9,FALSE)</f>
        <v>0.17100000000000001</v>
      </c>
      <c r="L100" s="2">
        <f t="shared" si="42"/>
        <v>1.4833333333333332E-2</v>
      </c>
      <c r="M100" s="2">
        <f t="shared" si="35"/>
        <v>2.0500000000000001E-2</v>
      </c>
      <c r="N100" s="2">
        <f t="shared" si="36"/>
        <v>1.6E-2</v>
      </c>
      <c r="O100" s="2">
        <f t="shared" si="37"/>
        <v>1.7333333333333333E-2</v>
      </c>
      <c r="P100" s="2">
        <f t="shared" si="38"/>
        <v>8.6666666666666663E-3</v>
      </c>
      <c r="Q100" s="2">
        <f t="shared" si="39"/>
        <v>2.9166666666666664E-2</v>
      </c>
      <c r="R100" s="2">
        <f t="shared" si="40"/>
        <v>0.13333333333333333</v>
      </c>
      <c r="S100" s="2">
        <f t="shared" si="41"/>
        <v>2.8500000000000001E-2</v>
      </c>
      <c r="U100" s="2">
        <f t="shared" si="27"/>
        <v>1.4863059452237815E-2</v>
      </c>
      <c r="V100" s="2">
        <f t="shared" si="28"/>
        <v>2.0582329317269079E-2</v>
      </c>
      <c r="W100" s="2">
        <f t="shared" si="29"/>
        <v>1.617795753286147E-2</v>
      </c>
      <c r="X100" s="2">
        <f t="shared" si="30"/>
        <v>1.7281488866733138E-2</v>
      </c>
      <c r="Y100" s="2">
        <f t="shared" si="31"/>
        <v>8.3655083655083621E-3</v>
      </c>
      <c r="Z100" s="2">
        <f t="shared" si="32"/>
        <v>2.7857370264247037E-2</v>
      </c>
      <c r="AA100" s="2">
        <f t="shared" si="33"/>
        <v>0.13320013320013321</v>
      </c>
      <c r="AB100" s="2">
        <f t="shared" si="34"/>
        <v>2.8443113772455085E-2</v>
      </c>
    </row>
    <row r="101" spans="1:28" x14ac:dyDescent="0.2">
      <c r="A101" t="s">
        <v>113</v>
      </c>
      <c r="B101" s="1" t="s">
        <v>114</v>
      </c>
      <c r="C101">
        <f>VLOOKUP($B101,gdp_cont!$A$2:$I$21,2,FALSE)</f>
        <v>6.0000000000000001E-3</v>
      </c>
      <c r="D101">
        <f>VLOOKUP($B101,gdp_cont!$A$2:$I$21,3,FALSE)</f>
        <v>2.5000000000000001E-2</v>
      </c>
      <c r="E101">
        <f>VLOOKUP($B101,gdp_cont!$A$2:$I$21,4,FALSE)</f>
        <v>6.4000000000000001E-2</v>
      </c>
      <c r="F101">
        <f>VLOOKUP($B101,gdp_cont!$A$2:$I$21,5,FALSE)</f>
        <v>-1.2E-2</v>
      </c>
      <c r="G101">
        <f>VLOOKUP($B101,gdp_cont!$A$2:$I$21,6,FALSE)</f>
        <v>1.0999999999999999E-2</v>
      </c>
      <c r="H101">
        <f>VLOOKUP($B101,gdp_cont!$A$2:$I$21,7,FALSE)</f>
        <v>4.8000000000000001E-2</v>
      </c>
      <c r="I101">
        <f>VLOOKUP($B101,gdp_cont!$A$2:$I$21,8,FALSE)</f>
        <v>9.4E-2</v>
      </c>
      <c r="J101">
        <f>VLOOKUP($B101,gdp_cont!$A$2:$I$21,9,FALSE)</f>
        <v>0.152</v>
      </c>
      <c r="L101" s="2">
        <f t="shared" si="42"/>
        <v>6.0000000000000001E-3</v>
      </c>
      <c r="M101" s="2">
        <f t="shared" si="35"/>
        <v>2.5000000000000001E-2</v>
      </c>
      <c r="N101" s="2">
        <f t="shared" si="36"/>
        <v>6.4000000000000001E-2</v>
      </c>
      <c r="O101" s="2">
        <f t="shared" si="37"/>
        <v>-1.2E-2</v>
      </c>
      <c r="P101" s="2">
        <f t="shared" si="38"/>
        <v>1.0999999999999999E-2</v>
      </c>
      <c r="Q101" s="2">
        <f t="shared" si="39"/>
        <v>4.8000000000000001E-2</v>
      </c>
      <c r="R101" s="2">
        <f t="shared" si="40"/>
        <v>9.4E-2</v>
      </c>
      <c r="S101" s="2">
        <f t="shared" si="41"/>
        <v>0.152</v>
      </c>
      <c r="U101" s="2">
        <f t="shared" si="27"/>
        <v>6.0120240480961949E-3</v>
      </c>
      <c r="V101" s="2">
        <f t="shared" si="28"/>
        <v>2.5100401606425703E-2</v>
      </c>
      <c r="W101" s="2">
        <f t="shared" si="29"/>
        <v>6.471183013144588E-2</v>
      </c>
      <c r="X101" s="2">
        <f t="shared" si="30"/>
        <v>-1.1964107676969097E-2</v>
      </c>
      <c r="Y101" s="2">
        <f t="shared" si="31"/>
        <v>1.0617760617760612E-2</v>
      </c>
      <c r="Z101" s="2">
        <f t="shared" si="32"/>
        <v>4.5845272206303703E-2</v>
      </c>
      <c r="AA101" s="2">
        <f t="shared" si="33"/>
        <v>9.3906093906093918E-2</v>
      </c>
      <c r="AB101" s="2">
        <f t="shared" si="34"/>
        <v>0.1516966067864271</v>
      </c>
    </row>
    <row r="102" spans="1:28" x14ac:dyDescent="0.2">
      <c r="A102" t="s">
        <v>115</v>
      </c>
      <c r="B102" s="1" t="s">
        <v>116</v>
      </c>
      <c r="C102">
        <f>VLOOKUP($B102,gdp_cont!$A$2:$I$21,2,FALSE)</f>
        <v>1.2999999999999999E-2</v>
      </c>
      <c r="D102">
        <f>VLOOKUP($B102,gdp_cont!$A$2:$I$21,3,FALSE)</f>
        <v>2.3E-2</v>
      </c>
      <c r="E102">
        <f>VLOOKUP($B102,gdp_cont!$A$2:$I$21,4,FALSE)</f>
        <v>0.112</v>
      </c>
      <c r="F102">
        <f>VLOOKUP($B102,gdp_cont!$A$2:$I$21,5,FALSE)</f>
        <v>7.9000000000000001E-2</v>
      </c>
      <c r="G102">
        <f>VLOOKUP($B102,gdp_cont!$A$2:$I$21,6,FALSE)</f>
        <v>0.124</v>
      </c>
      <c r="H102">
        <f>VLOOKUP($B102,gdp_cont!$A$2:$I$21,7,FALSE)</f>
        <v>0.105</v>
      </c>
      <c r="I102">
        <f>VLOOKUP($B102,gdp_cont!$A$2:$I$21,8,FALSE)</f>
        <v>0.33400000000000002</v>
      </c>
      <c r="J102">
        <f>VLOOKUP($B102,gdp_cont!$A$2:$I$21,9,FALSE)</f>
        <v>8.8999999999999996E-2</v>
      </c>
      <c r="L102" s="2">
        <f t="shared" si="42"/>
        <v>1.2999999999999999E-2</v>
      </c>
      <c r="M102" s="2">
        <f t="shared" si="35"/>
        <v>2.3E-2</v>
      </c>
      <c r="N102" s="2">
        <f t="shared" si="36"/>
        <v>0.112</v>
      </c>
      <c r="O102" s="2">
        <f t="shared" si="37"/>
        <v>7.9000000000000001E-2</v>
      </c>
      <c r="P102" s="2">
        <f t="shared" si="38"/>
        <v>0.124</v>
      </c>
      <c r="Q102" s="2">
        <f t="shared" si="39"/>
        <v>0.105</v>
      </c>
      <c r="R102" s="2">
        <f t="shared" si="40"/>
        <v>0.33400000000000002</v>
      </c>
      <c r="S102" s="2">
        <f t="shared" si="41"/>
        <v>8.8999999999999996E-2</v>
      </c>
      <c r="U102" s="2">
        <f t="shared" si="27"/>
        <v>1.3026052104208423E-2</v>
      </c>
      <c r="V102" s="2">
        <f t="shared" si="28"/>
        <v>2.3092369477911646E-2</v>
      </c>
      <c r="W102" s="2">
        <f t="shared" si="29"/>
        <v>0.1132457027300303</v>
      </c>
      <c r="X102" s="2">
        <f t="shared" si="30"/>
        <v>7.8763708873379884E-2</v>
      </c>
      <c r="Y102" s="2">
        <f t="shared" si="31"/>
        <v>0.11969111969111963</v>
      </c>
      <c r="Z102" s="2">
        <f t="shared" si="32"/>
        <v>0.10028653295128934</v>
      </c>
      <c r="AA102" s="2">
        <f t="shared" si="33"/>
        <v>0.33366633366633375</v>
      </c>
      <c r="AB102" s="2">
        <f t="shared" si="34"/>
        <v>8.8822355289421132E-2</v>
      </c>
    </row>
    <row r="103" spans="1:28" x14ac:dyDescent="0.2">
      <c r="A103" t="s">
        <v>117</v>
      </c>
      <c r="B103" s="1" t="s">
        <v>118</v>
      </c>
      <c r="C103">
        <f>VLOOKUP($B103,gdp_cont!$A$2:$I$21,2,FALSE)</f>
        <v>-1.4999999999999999E-2</v>
      </c>
      <c r="D103">
        <f>VLOOKUP($B103,gdp_cont!$A$2:$I$21,3,FALSE)</f>
        <v>2.1000000000000001E-2</v>
      </c>
      <c r="E103">
        <f>VLOOKUP($B103,gdp_cont!$A$2:$I$21,4,FALSE)</f>
        <v>0.10199999999999999</v>
      </c>
      <c r="F103">
        <f>VLOOKUP($B103,gdp_cont!$A$2:$I$21,5,FALSE)</f>
        <v>6.9000000000000006E-2</v>
      </c>
      <c r="G103">
        <f>VLOOKUP($B103,gdp_cont!$A$2:$I$21,6,FALSE)</f>
        <v>0.221</v>
      </c>
      <c r="H103">
        <f>VLOOKUP($B103,gdp_cont!$A$2:$I$21,7,FALSE)</f>
        <v>0.193</v>
      </c>
      <c r="I103">
        <f>VLOOKUP($B103,gdp_cont!$A$2:$I$21,8,FALSE)</f>
        <v>-0.17299999999999999</v>
      </c>
      <c r="J103">
        <f>VLOOKUP($B103,gdp_cont!$A$2:$I$21,9,FALSE)</f>
        <v>0.28199999999999997</v>
      </c>
      <c r="L103" s="2">
        <f t="shared" si="42"/>
        <v>-5.0000000000000001E-3</v>
      </c>
      <c r="M103" s="2">
        <f t="shared" si="35"/>
        <v>7.0000000000000001E-3</v>
      </c>
      <c r="N103" s="2">
        <f t="shared" si="36"/>
        <v>3.3999999999999996E-2</v>
      </c>
      <c r="O103" s="2">
        <f t="shared" si="37"/>
        <v>2.3000000000000003E-2</v>
      </c>
      <c r="P103" s="2">
        <f t="shared" si="38"/>
        <v>7.3666666666666672E-2</v>
      </c>
      <c r="Q103" s="2">
        <f t="shared" si="39"/>
        <v>6.433333333333334E-2</v>
      </c>
      <c r="R103" s="2">
        <f t="shared" si="40"/>
        <v>-5.7666666666666665E-2</v>
      </c>
      <c r="S103" s="2">
        <f t="shared" si="41"/>
        <v>9.3999999999999986E-2</v>
      </c>
      <c r="U103" s="2">
        <f t="shared" si="27"/>
        <v>-5.0100200400801627E-3</v>
      </c>
      <c r="V103" s="2">
        <f t="shared" si="28"/>
        <v>7.0281124497991966E-3</v>
      </c>
      <c r="W103" s="2">
        <f t="shared" si="29"/>
        <v>3.437815975733062E-2</v>
      </c>
      <c r="X103" s="2">
        <f t="shared" si="30"/>
        <v>2.2931206380857438E-2</v>
      </c>
      <c r="Y103" s="2">
        <f t="shared" si="31"/>
        <v>7.110682110682108E-2</v>
      </c>
      <c r="Z103" s="2">
        <f t="shared" si="32"/>
        <v>6.1445399554282049E-2</v>
      </c>
      <c r="AA103" s="2">
        <f t="shared" si="33"/>
        <v>-5.7609057609057615E-2</v>
      </c>
      <c r="AB103" s="2">
        <f t="shared" si="34"/>
        <v>9.3812375249500965E-2</v>
      </c>
    </row>
    <row r="104" spans="1:28" x14ac:dyDescent="0.2">
      <c r="A104" t="s">
        <v>119</v>
      </c>
      <c r="B104" s="1" t="s">
        <v>118</v>
      </c>
      <c r="C104">
        <f>VLOOKUP($B104,gdp_cont!$A$2:$I$21,2,FALSE)</f>
        <v>-1.4999999999999999E-2</v>
      </c>
      <c r="D104">
        <f>VLOOKUP($B104,gdp_cont!$A$2:$I$21,3,FALSE)</f>
        <v>2.1000000000000001E-2</v>
      </c>
      <c r="E104">
        <f>VLOOKUP($B104,gdp_cont!$A$2:$I$21,4,FALSE)</f>
        <v>0.10199999999999999</v>
      </c>
      <c r="F104">
        <f>VLOOKUP($B104,gdp_cont!$A$2:$I$21,5,FALSE)</f>
        <v>6.9000000000000006E-2</v>
      </c>
      <c r="G104">
        <f>VLOOKUP($B104,gdp_cont!$A$2:$I$21,6,FALSE)</f>
        <v>0.221</v>
      </c>
      <c r="H104">
        <f>VLOOKUP($B104,gdp_cont!$A$2:$I$21,7,FALSE)</f>
        <v>0.193</v>
      </c>
      <c r="I104">
        <f>VLOOKUP($B104,gdp_cont!$A$2:$I$21,8,FALSE)</f>
        <v>-0.17299999999999999</v>
      </c>
      <c r="J104">
        <f>VLOOKUP($B104,gdp_cont!$A$2:$I$21,9,FALSE)</f>
        <v>0.28199999999999997</v>
      </c>
      <c r="L104" s="2">
        <f t="shared" si="42"/>
        <v>-5.0000000000000001E-3</v>
      </c>
      <c r="M104" s="2">
        <f t="shared" si="35"/>
        <v>7.0000000000000001E-3</v>
      </c>
      <c r="N104" s="2">
        <f t="shared" si="36"/>
        <v>3.3999999999999996E-2</v>
      </c>
      <c r="O104" s="2">
        <f t="shared" si="37"/>
        <v>2.3000000000000003E-2</v>
      </c>
      <c r="P104" s="2">
        <f t="shared" si="38"/>
        <v>7.3666666666666672E-2</v>
      </c>
      <c r="Q104" s="2">
        <f t="shared" si="39"/>
        <v>6.433333333333334E-2</v>
      </c>
      <c r="R104" s="2">
        <f t="shared" si="40"/>
        <v>-5.7666666666666665E-2</v>
      </c>
      <c r="S104" s="2">
        <f t="shared" si="41"/>
        <v>9.3999999999999986E-2</v>
      </c>
      <c r="U104" s="2">
        <f t="shared" si="27"/>
        <v>-5.0100200400801627E-3</v>
      </c>
      <c r="V104" s="2">
        <f t="shared" si="28"/>
        <v>7.0281124497991966E-3</v>
      </c>
      <c r="W104" s="2">
        <f t="shared" si="29"/>
        <v>3.437815975733062E-2</v>
      </c>
      <c r="X104" s="2">
        <f t="shared" si="30"/>
        <v>2.2931206380857438E-2</v>
      </c>
      <c r="Y104" s="2">
        <f t="shared" si="31"/>
        <v>7.110682110682108E-2</v>
      </c>
      <c r="Z104" s="2">
        <f t="shared" si="32"/>
        <v>6.1445399554282049E-2</v>
      </c>
      <c r="AA104" s="2">
        <f t="shared" si="33"/>
        <v>-5.7609057609057615E-2</v>
      </c>
      <c r="AB104" s="2">
        <f t="shared" si="34"/>
        <v>9.3812375249500965E-2</v>
      </c>
    </row>
    <row r="105" spans="1:28" x14ac:dyDescent="0.2">
      <c r="A105" t="s">
        <v>120</v>
      </c>
      <c r="B105" s="1" t="s">
        <v>118</v>
      </c>
      <c r="C105">
        <f>VLOOKUP($B105,gdp_cont!$A$2:$I$21,2,FALSE)</f>
        <v>-1.4999999999999999E-2</v>
      </c>
      <c r="D105">
        <f>VLOOKUP($B105,gdp_cont!$A$2:$I$21,3,FALSE)</f>
        <v>2.1000000000000001E-2</v>
      </c>
      <c r="E105">
        <f>VLOOKUP($B105,gdp_cont!$A$2:$I$21,4,FALSE)</f>
        <v>0.10199999999999999</v>
      </c>
      <c r="F105">
        <f>VLOOKUP($B105,gdp_cont!$A$2:$I$21,5,FALSE)</f>
        <v>6.9000000000000006E-2</v>
      </c>
      <c r="G105">
        <f>VLOOKUP($B105,gdp_cont!$A$2:$I$21,6,FALSE)</f>
        <v>0.221</v>
      </c>
      <c r="H105">
        <f>VLOOKUP($B105,gdp_cont!$A$2:$I$21,7,FALSE)</f>
        <v>0.193</v>
      </c>
      <c r="I105">
        <f>VLOOKUP($B105,gdp_cont!$A$2:$I$21,8,FALSE)</f>
        <v>-0.17299999999999999</v>
      </c>
      <c r="J105">
        <f>VLOOKUP($B105,gdp_cont!$A$2:$I$21,9,FALSE)</f>
        <v>0.28199999999999997</v>
      </c>
      <c r="L105" s="2">
        <f t="shared" si="42"/>
        <v>-5.0000000000000001E-3</v>
      </c>
      <c r="M105" s="2">
        <f t="shared" si="35"/>
        <v>7.0000000000000001E-3</v>
      </c>
      <c r="N105" s="2">
        <f t="shared" si="36"/>
        <v>3.3999999999999996E-2</v>
      </c>
      <c r="O105" s="2">
        <f t="shared" si="37"/>
        <v>2.3000000000000003E-2</v>
      </c>
      <c r="P105" s="2">
        <f t="shared" si="38"/>
        <v>7.3666666666666672E-2</v>
      </c>
      <c r="Q105" s="2">
        <f t="shared" si="39"/>
        <v>6.433333333333334E-2</v>
      </c>
      <c r="R105" s="2">
        <f t="shared" si="40"/>
        <v>-5.7666666666666665E-2</v>
      </c>
      <c r="S105" s="2">
        <f t="shared" si="41"/>
        <v>9.3999999999999986E-2</v>
      </c>
      <c r="U105" s="2">
        <f t="shared" si="27"/>
        <v>-5.0100200400801627E-3</v>
      </c>
      <c r="V105" s="2">
        <f t="shared" si="28"/>
        <v>7.0281124497991966E-3</v>
      </c>
      <c r="W105" s="2">
        <f t="shared" si="29"/>
        <v>3.437815975733062E-2</v>
      </c>
      <c r="X105" s="2">
        <f t="shared" si="30"/>
        <v>2.2931206380857438E-2</v>
      </c>
      <c r="Y105" s="2">
        <f t="shared" si="31"/>
        <v>7.110682110682108E-2</v>
      </c>
      <c r="Z105" s="2">
        <f t="shared" si="32"/>
        <v>6.1445399554282049E-2</v>
      </c>
      <c r="AA105" s="2">
        <f t="shared" si="33"/>
        <v>-5.7609057609057615E-2</v>
      </c>
      <c r="AB105" s="2">
        <f t="shared" si="34"/>
        <v>9.3812375249500965E-2</v>
      </c>
    </row>
    <row r="106" spans="1:28" x14ac:dyDescent="0.2">
      <c r="A106" t="s">
        <v>121</v>
      </c>
      <c r="B106" s="1" t="s">
        <v>122</v>
      </c>
      <c r="C106">
        <f>VLOOKUP($B106,gdp_cont!$A$2:$I$21,2,FALSE)</f>
        <v>1.4999999999999999E-2</v>
      </c>
      <c r="D106">
        <f>VLOOKUP($B106,gdp_cont!$A$2:$I$21,3,FALSE)</f>
        <v>1.4E-2</v>
      </c>
      <c r="E106">
        <f>VLOOKUP($B106,gdp_cont!$A$2:$I$21,4,FALSE)</f>
        <v>1.4E-2</v>
      </c>
      <c r="F106">
        <f>VLOOKUP($B106,gdp_cont!$A$2:$I$21,5,FALSE)</f>
        <v>4.5999999999999999E-2</v>
      </c>
      <c r="G106">
        <f>VLOOKUP($B106,gdp_cont!$A$2:$I$21,6,FALSE)</f>
        <v>4.2999999999999997E-2</v>
      </c>
      <c r="H106">
        <f>VLOOKUP($B106,gdp_cont!$A$2:$I$21,7,FALSE)</f>
        <v>7.4999999999999997E-2</v>
      </c>
      <c r="I106">
        <f>VLOOKUP($B106,gdp_cont!$A$2:$I$21,8,FALSE)</f>
        <v>0.26500000000000001</v>
      </c>
      <c r="J106">
        <f>VLOOKUP($B106,gdp_cont!$A$2:$I$21,9,FALSE)</f>
        <v>-4.7E-2</v>
      </c>
      <c r="L106" s="2">
        <f t="shared" si="42"/>
        <v>3.7499999999999999E-3</v>
      </c>
      <c r="M106" s="2">
        <f t="shared" si="35"/>
        <v>3.5000000000000001E-3</v>
      </c>
      <c r="N106" s="2">
        <f t="shared" si="36"/>
        <v>3.5000000000000001E-3</v>
      </c>
      <c r="O106" s="2">
        <f t="shared" si="37"/>
        <v>1.15E-2</v>
      </c>
      <c r="P106" s="2">
        <f t="shared" si="38"/>
        <v>1.0749999999999999E-2</v>
      </c>
      <c r="Q106" s="2">
        <f t="shared" si="39"/>
        <v>1.8749999999999999E-2</v>
      </c>
      <c r="R106" s="2">
        <f t="shared" si="40"/>
        <v>6.6250000000000003E-2</v>
      </c>
      <c r="S106" s="2">
        <f t="shared" si="41"/>
        <v>-1.175E-2</v>
      </c>
      <c r="U106" s="2">
        <f t="shared" si="27"/>
        <v>3.7575150300601218E-3</v>
      </c>
      <c r="V106" s="2">
        <f t="shared" si="28"/>
        <v>3.5140562248995983E-3</v>
      </c>
      <c r="W106" s="2">
        <f t="shared" si="29"/>
        <v>3.538928210313447E-3</v>
      </c>
      <c r="X106" s="2">
        <f t="shared" si="30"/>
        <v>1.1465603190428717E-2</v>
      </c>
      <c r="Y106" s="2">
        <f t="shared" si="31"/>
        <v>1.0376447876447871E-2</v>
      </c>
      <c r="Z106" s="2">
        <f t="shared" si="32"/>
        <v>1.7908309455587381E-2</v>
      </c>
      <c r="AA106" s="2">
        <f t="shared" si="33"/>
        <v>6.6183816183816191E-2</v>
      </c>
      <c r="AB106" s="2">
        <f t="shared" si="34"/>
        <v>-1.1726546906187622E-2</v>
      </c>
    </row>
    <row r="107" spans="1:28" x14ac:dyDescent="0.2">
      <c r="A107" t="s">
        <v>123</v>
      </c>
      <c r="B107" s="1" t="s">
        <v>122</v>
      </c>
      <c r="C107">
        <f>VLOOKUP($B107,gdp_cont!$A$2:$I$21,2,FALSE)</f>
        <v>1.4999999999999999E-2</v>
      </c>
      <c r="D107">
        <f>VLOOKUP($B107,gdp_cont!$A$2:$I$21,3,FALSE)</f>
        <v>1.4E-2</v>
      </c>
      <c r="E107">
        <f>VLOOKUP($B107,gdp_cont!$A$2:$I$21,4,FALSE)</f>
        <v>1.4E-2</v>
      </c>
      <c r="F107">
        <f>VLOOKUP($B107,gdp_cont!$A$2:$I$21,5,FALSE)</f>
        <v>4.5999999999999999E-2</v>
      </c>
      <c r="G107">
        <f>VLOOKUP($B107,gdp_cont!$A$2:$I$21,6,FALSE)</f>
        <v>4.2999999999999997E-2</v>
      </c>
      <c r="H107">
        <f>VLOOKUP($B107,gdp_cont!$A$2:$I$21,7,FALSE)</f>
        <v>7.4999999999999997E-2</v>
      </c>
      <c r="I107">
        <f>VLOOKUP($B107,gdp_cont!$A$2:$I$21,8,FALSE)</f>
        <v>0.26500000000000001</v>
      </c>
      <c r="J107">
        <f>VLOOKUP($B107,gdp_cont!$A$2:$I$21,9,FALSE)</f>
        <v>-4.7E-2</v>
      </c>
      <c r="L107" s="2">
        <f t="shared" si="42"/>
        <v>3.7499999999999999E-3</v>
      </c>
      <c r="M107" s="2">
        <f t="shared" si="35"/>
        <v>3.5000000000000001E-3</v>
      </c>
      <c r="N107" s="2">
        <f t="shared" si="36"/>
        <v>3.5000000000000001E-3</v>
      </c>
      <c r="O107" s="2">
        <f t="shared" si="37"/>
        <v>1.15E-2</v>
      </c>
      <c r="P107" s="2">
        <f t="shared" si="38"/>
        <v>1.0749999999999999E-2</v>
      </c>
      <c r="Q107" s="2">
        <f t="shared" si="39"/>
        <v>1.8749999999999999E-2</v>
      </c>
      <c r="R107" s="2">
        <f t="shared" si="40"/>
        <v>6.6250000000000003E-2</v>
      </c>
      <c r="S107" s="2">
        <f t="shared" si="41"/>
        <v>-1.175E-2</v>
      </c>
      <c r="U107" s="2">
        <f t="shared" si="27"/>
        <v>3.7575150300601218E-3</v>
      </c>
      <c r="V107" s="2">
        <f t="shared" si="28"/>
        <v>3.5140562248995983E-3</v>
      </c>
      <c r="W107" s="2">
        <f t="shared" si="29"/>
        <v>3.538928210313447E-3</v>
      </c>
      <c r="X107" s="2">
        <f t="shared" si="30"/>
        <v>1.1465603190428717E-2</v>
      </c>
      <c r="Y107" s="2">
        <f t="shared" si="31"/>
        <v>1.0376447876447871E-2</v>
      </c>
      <c r="Z107" s="2">
        <f t="shared" si="32"/>
        <v>1.7908309455587381E-2</v>
      </c>
      <c r="AA107" s="2">
        <f t="shared" si="33"/>
        <v>6.6183816183816191E-2</v>
      </c>
      <c r="AB107" s="2">
        <f t="shared" si="34"/>
        <v>-1.1726546906187622E-2</v>
      </c>
    </row>
    <row r="108" spans="1:28" x14ac:dyDescent="0.2">
      <c r="A108" t="s">
        <v>124</v>
      </c>
      <c r="B108" s="1" t="s">
        <v>122</v>
      </c>
      <c r="C108">
        <f>VLOOKUP($B108,gdp_cont!$A$2:$I$21,2,FALSE)</f>
        <v>1.4999999999999999E-2</v>
      </c>
      <c r="D108">
        <f>VLOOKUP($B108,gdp_cont!$A$2:$I$21,3,FALSE)</f>
        <v>1.4E-2</v>
      </c>
      <c r="E108">
        <f>VLOOKUP($B108,gdp_cont!$A$2:$I$21,4,FALSE)</f>
        <v>1.4E-2</v>
      </c>
      <c r="F108">
        <f>VLOOKUP($B108,gdp_cont!$A$2:$I$21,5,FALSE)</f>
        <v>4.5999999999999999E-2</v>
      </c>
      <c r="G108">
        <f>VLOOKUP($B108,gdp_cont!$A$2:$I$21,6,FALSE)</f>
        <v>4.2999999999999997E-2</v>
      </c>
      <c r="H108">
        <f>VLOOKUP($B108,gdp_cont!$A$2:$I$21,7,FALSE)</f>
        <v>7.4999999999999997E-2</v>
      </c>
      <c r="I108">
        <f>VLOOKUP($B108,gdp_cont!$A$2:$I$21,8,FALSE)</f>
        <v>0.26500000000000001</v>
      </c>
      <c r="J108">
        <f>VLOOKUP($B108,gdp_cont!$A$2:$I$21,9,FALSE)</f>
        <v>-4.7E-2</v>
      </c>
      <c r="L108" s="2">
        <f t="shared" si="42"/>
        <v>3.7499999999999999E-3</v>
      </c>
      <c r="M108" s="2">
        <f t="shared" si="35"/>
        <v>3.5000000000000001E-3</v>
      </c>
      <c r="N108" s="2">
        <f t="shared" si="36"/>
        <v>3.5000000000000001E-3</v>
      </c>
      <c r="O108" s="2">
        <f t="shared" si="37"/>
        <v>1.15E-2</v>
      </c>
      <c r="P108" s="2">
        <f t="shared" si="38"/>
        <v>1.0749999999999999E-2</v>
      </c>
      <c r="Q108" s="2">
        <f t="shared" si="39"/>
        <v>1.8749999999999999E-2</v>
      </c>
      <c r="R108" s="2">
        <f t="shared" si="40"/>
        <v>6.6250000000000003E-2</v>
      </c>
      <c r="S108" s="2">
        <f t="shared" si="41"/>
        <v>-1.175E-2</v>
      </c>
      <c r="U108" s="2">
        <f t="shared" si="27"/>
        <v>3.7575150300601218E-3</v>
      </c>
      <c r="V108" s="2">
        <f t="shared" si="28"/>
        <v>3.5140562248995983E-3</v>
      </c>
      <c r="W108" s="2">
        <f t="shared" si="29"/>
        <v>3.538928210313447E-3</v>
      </c>
      <c r="X108" s="2">
        <f t="shared" si="30"/>
        <v>1.1465603190428717E-2</v>
      </c>
      <c r="Y108" s="2">
        <f t="shared" si="31"/>
        <v>1.0376447876447871E-2</v>
      </c>
      <c r="Z108" s="2">
        <f t="shared" si="32"/>
        <v>1.7908309455587381E-2</v>
      </c>
      <c r="AA108" s="2">
        <f t="shared" si="33"/>
        <v>6.6183816183816191E-2</v>
      </c>
      <c r="AB108" s="2">
        <f t="shared" si="34"/>
        <v>-1.1726546906187622E-2</v>
      </c>
    </row>
    <row r="109" spans="1:28" x14ac:dyDescent="0.2">
      <c r="A109" t="s">
        <v>125</v>
      </c>
      <c r="B109" s="1" t="s">
        <v>122</v>
      </c>
      <c r="C109">
        <f>VLOOKUP($B109,gdp_cont!$A$2:$I$21,2,FALSE)</f>
        <v>1.4999999999999999E-2</v>
      </c>
      <c r="D109">
        <f>VLOOKUP($B109,gdp_cont!$A$2:$I$21,3,FALSE)</f>
        <v>1.4E-2</v>
      </c>
      <c r="E109">
        <f>VLOOKUP($B109,gdp_cont!$A$2:$I$21,4,FALSE)</f>
        <v>1.4E-2</v>
      </c>
      <c r="F109">
        <f>VLOOKUP($B109,gdp_cont!$A$2:$I$21,5,FALSE)</f>
        <v>4.5999999999999999E-2</v>
      </c>
      <c r="G109">
        <f>VLOOKUP($B109,gdp_cont!$A$2:$I$21,6,FALSE)</f>
        <v>4.2999999999999997E-2</v>
      </c>
      <c r="H109">
        <f>VLOOKUP($B109,gdp_cont!$A$2:$I$21,7,FALSE)</f>
        <v>7.4999999999999997E-2</v>
      </c>
      <c r="I109">
        <f>VLOOKUP($B109,gdp_cont!$A$2:$I$21,8,FALSE)</f>
        <v>0.26500000000000001</v>
      </c>
      <c r="J109">
        <f>VLOOKUP($B109,gdp_cont!$A$2:$I$21,9,FALSE)</f>
        <v>-4.7E-2</v>
      </c>
      <c r="L109" s="2">
        <f t="shared" si="42"/>
        <v>3.7499999999999999E-3</v>
      </c>
      <c r="M109" s="2">
        <f t="shared" si="35"/>
        <v>3.5000000000000001E-3</v>
      </c>
      <c r="N109" s="2">
        <f t="shared" si="36"/>
        <v>3.5000000000000001E-3</v>
      </c>
      <c r="O109" s="2">
        <f t="shared" si="37"/>
        <v>1.15E-2</v>
      </c>
      <c r="P109" s="2">
        <f t="shared" si="38"/>
        <v>1.0749999999999999E-2</v>
      </c>
      <c r="Q109" s="2">
        <f t="shared" si="39"/>
        <v>1.8749999999999999E-2</v>
      </c>
      <c r="R109" s="2">
        <f t="shared" si="40"/>
        <v>6.6250000000000003E-2</v>
      </c>
      <c r="S109" s="2">
        <f t="shared" si="41"/>
        <v>-1.175E-2</v>
      </c>
      <c r="U109" s="2">
        <f t="shared" si="27"/>
        <v>3.7575150300601218E-3</v>
      </c>
      <c r="V109" s="2">
        <f t="shared" si="28"/>
        <v>3.5140562248995983E-3</v>
      </c>
      <c r="W109" s="2">
        <f t="shared" si="29"/>
        <v>3.538928210313447E-3</v>
      </c>
      <c r="X109" s="2">
        <f t="shared" si="30"/>
        <v>1.1465603190428717E-2</v>
      </c>
      <c r="Y109" s="2">
        <f t="shared" si="31"/>
        <v>1.0376447876447871E-2</v>
      </c>
      <c r="Z109" s="2">
        <f t="shared" si="32"/>
        <v>1.7908309455587381E-2</v>
      </c>
      <c r="AA109" s="2">
        <f t="shared" si="33"/>
        <v>6.6183816183816191E-2</v>
      </c>
      <c r="AB109" s="2">
        <f t="shared" si="34"/>
        <v>-1.1726546906187622E-2</v>
      </c>
    </row>
    <row r="110" spans="1:28" x14ac:dyDescent="0.2">
      <c r="A110" t="s">
        <v>126</v>
      </c>
      <c r="B110" s="1" t="s">
        <v>127</v>
      </c>
      <c r="C110">
        <f>VLOOKUP($B110,gdp_cont!$A$2:$I$21,2,FALSE)</f>
        <v>3.5999999999999997E-2</v>
      </c>
      <c r="D110">
        <f>VLOOKUP($B110,gdp_cont!$A$2:$I$21,3,FALSE)</f>
        <v>5.0000000000000001E-3</v>
      </c>
      <c r="E110">
        <f>VLOOKUP($B110,gdp_cont!$A$2:$I$21,4,FALSE)</f>
        <v>5.0000000000000001E-3</v>
      </c>
      <c r="F110">
        <f>VLOOKUP($B110,gdp_cont!$A$2:$I$21,5,FALSE)</f>
        <v>4.1000000000000002E-2</v>
      </c>
      <c r="G110">
        <f>VLOOKUP($B110,gdp_cont!$A$2:$I$21,6,FALSE)</f>
        <v>-1E-3</v>
      </c>
      <c r="H110">
        <f>VLOOKUP($B110,gdp_cont!$A$2:$I$21,7,FALSE)</f>
        <v>0.01</v>
      </c>
      <c r="I110">
        <f>VLOOKUP($B110,gdp_cont!$A$2:$I$21,8,FALSE)</f>
        <v>0.13800000000000001</v>
      </c>
      <c r="J110">
        <f>VLOOKUP($B110,gdp_cont!$A$2:$I$21,9,FALSE)</f>
        <v>-1.0999999999999999E-2</v>
      </c>
      <c r="L110" s="2">
        <f t="shared" si="42"/>
        <v>1.1999999999999999E-2</v>
      </c>
      <c r="M110" s="2">
        <f t="shared" si="35"/>
        <v>1.6666666666666668E-3</v>
      </c>
      <c r="N110" s="2">
        <f t="shared" si="36"/>
        <v>1.6666666666666668E-3</v>
      </c>
      <c r="O110" s="2">
        <f t="shared" si="37"/>
        <v>1.3666666666666667E-2</v>
      </c>
      <c r="P110" s="2">
        <f t="shared" si="38"/>
        <v>-3.3333333333333332E-4</v>
      </c>
      <c r="Q110" s="2">
        <f t="shared" si="39"/>
        <v>3.3333333333333335E-3</v>
      </c>
      <c r="R110" s="2">
        <f t="shared" si="40"/>
        <v>4.6000000000000006E-2</v>
      </c>
      <c r="S110" s="2">
        <f t="shared" si="41"/>
        <v>-3.6666666666666666E-3</v>
      </c>
      <c r="U110" s="2">
        <f t="shared" si="27"/>
        <v>1.2024048096192388E-2</v>
      </c>
      <c r="V110" s="2">
        <f t="shared" si="28"/>
        <v>1.6733601070950471E-3</v>
      </c>
      <c r="W110" s="2">
        <f t="shared" si="29"/>
        <v>1.6852039096730701E-3</v>
      </c>
      <c r="X110" s="2">
        <f t="shared" si="30"/>
        <v>1.362578929877036E-2</v>
      </c>
      <c r="Y110" s="2">
        <f t="shared" si="31"/>
        <v>-3.2175032175032158E-4</v>
      </c>
      <c r="Z110" s="2">
        <f t="shared" si="32"/>
        <v>3.1836994587710905E-3</v>
      </c>
      <c r="AA110" s="2">
        <f t="shared" si="33"/>
        <v>4.5954045954045966E-2</v>
      </c>
      <c r="AB110" s="2">
        <f t="shared" si="34"/>
        <v>-3.6593479707252153E-3</v>
      </c>
    </row>
    <row r="111" spans="1:28" x14ac:dyDescent="0.2">
      <c r="A111" t="s">
        <v>128</v>
      </c>
      <c r="B111" s="1" t="s">
        <v>127</v>
      </c>
      <c r="C111">
        <f>VLOOKUP($B111,gdp_cont!$A$2:$I$21,2,FALSE)</f>
        <v>3.5999999999999997E-2</v>
      </c>
      <c r="D111">
        <f>VLOOKUP($B111,gdp_cont!$A$2:$I$21,3,FALSE)</f>
        <v>5.0000000000000001E-3</v>
      </c>
      <c r="E111">
        <f>VLOOKUP($B111,gdp_cont!$A$2:$I$21,4,FALSE)</f>
        <v>5.0000000000000001E-3</v>
      </c>
      <c r="F111">
        <f>VLOOKUP($B111,gdp_cont!$A$2:$I$21,5,FALSE)</f>
        <v>4.1000000000000002E-2</v>
      </c>
      <c r="G111">
        <f>VLOOKUP($B111,gdp_cont!$A$2:$I$21,6,FALSE)</f>
        <v>-1E-3</v>
      </c>
      <c r="H111">
        <f>VLOOKUP($B111,gdp_cont!$A$2:$I$21,7,FALSE)</f>
        <v>0.01</v>
      </c>
      <c r="I111">
        <f>VLOOKUP($B111,gdp_cont!$A$2:$I$21,8,FALSE)</f>
        <v>0.13800000000000001</v>
      </c>
      <c r="J111">
        <f>VLOOKUP($B111,gdp_cont!$A$2:$I$21,9,FALSE)</f>
        <v>-1.0999999999999999E-2</v>
      </c>
      <c r="L111" s="2">
        <f t="shared" si="42"/>
        <v>1.1999999999999999E-2</v>
      </c>
      <c r="M111" s="2">
        <f t="shared" si="35"/>
        <v>1.6666666666666668E-3</v>
      </c>
      <c r="N111" s="2">
        <f t="shared" si="36"/>
        <v>1.6666666666666668E-3</v>
      </c>
      <c r="O111" s="2">
        <f t="shared" si="37"/>
        <v>1.3666666666666667E-2</v>
      </c>
      <c r="P111" s="2">
        <f t="shared" si="38"/>
        <v>-3.3333333333333332E-4</v>
      </c>
      <c r="Q111" s="2">
        <f t="shared" si="39"/>
        <v>3.3333333333333335E-3</v>
      </c>
      <c r="R111" s="2">
        <f t="shared" si="40"/>
        <v>4.6000000000000006E-2</v>
      </c>
      <c r="S111" s="2">
        <f t="shared" si="41"/>
        <v>-3.6666666666666666E-3</v>
      </c>
      <c r="U111" s="2">
        <f t="shared" si="27"/>
        <v>1.2024048096192388E-2</v>
      </c>
      <c r="V111" s="2">
        <f t="shared" si="28"/>
        <v>1.6733601070950471E-3</v>
      </c>
      <c r="W111" s="2">
        <f t="shared" si="29"/>
        <v>1.6852039096730701E-3</v>
      </c>
      <c r="X111" s="2">
        <f t="shared" si="30"/>
        <v>1.362578929877036E-2</v>
      </c>
      <c r="Y111" s="2">
        <f t="shared" si="31"/>
        <v>-3.2175032175032158E-4</v>
      </c>
      <c r="Z111" s="2">
        <f t="shared" si="32"/>
        <v>3.1836994587710905E-3</v>
      </c>
      <c r="AA111" s="2">
        <f t="shared" si="33"/>
        <v>4.5954045954045966E-2</v>
      </c>
      <c r="AB111" s="2">
        <f t="shared" si="34"/>
        <v>-3.6593479707252153E-3</v>
      </c>
    </row>
    <row r="112" spans="1:28" x14ac:dyDescent="0.2">
      <c r="A112" t="s">
        <v>129</v>
      </c>
      <c r="B112" s="1" t="s">
        <v>127</v>
      </c>
      <c r="C112">
        <f>VLOOKUP($B112,gdp_cont!$A$2:$I$21,2,FALSE)</f>
        <v>3.5999999999999997E-2</v>
      </c>
      <c r="D112">
        <f>VLOOKUP($B112,gdp_cont!$A$2:$I$21,3,FALSE)</f>
        <v>5.0000000000000001E-3</v>
      </c>
      <c r="E112">
        <f>VLOOKUP($B112,gdp_cont!$A$2:$I$21,4,FALSE)</f>
        <v>5.0000000000000001E-3</v>
      </c>
      <c r="F112">
        <f>VLOOKUP($B112,gdp_cont!$A$2:$I$21,5,FALSE)</f>
        <v>4.1000000000000002E-2</v>
      </c>
      <c r="G112">
        <f>VLOOKUP($B112,gdp_cont!$A$2:$I$21,6,FALSE)</f>
        <v>-1E-3</v>
      </c>
      <c r="H112">
        <f>VLOOKUP($B112,gdp_cont!$A$2:$I$21,7,FALSE)</f>
        <v>0.01</v>
      </c>
      <c r="I112">
        <f>VLOOKUP($B112,gdp_cont!$A$2:$I$21,8,FALSE)</f>
        <v>0.13800000000000001</v>
      </c>
      <c r="J112">
        <f>VLOOKUP($B112,gdp_cont!$A$2:$I$21,9,FALSE)</f>
        <v>-1.0999999999999999E-2</v>
      </c>
      <c r="L112" s="2">
        <f t="shared" si="42"/>
        <v>1.1999999999999999E-2</v>
      </c>
      <c r="M112" s="2">
        <f t="shared" si="35"/>
        <v>1.6666666666666668E-3</v>
      </c>
      <c r="N112" s="2">
        <f t="shared" si="36"/>
        <v>1.6666666666666668E-3</v>
      </c>
      <c r="O112" s="2">
        <f t="shared" si="37"/>
        <v>1.3666666666666667E-2</v>
      </c>
      <c r="P112" s="2">
        <f t="shared" si="38"/>
        <v>-3.3333333333333332E-4</v>
      </c>
      <c r="Q112" s="2">
        <f t="shared" si="39"/>
        <v>3.3333333333333335E-3</v>
      </c>
      <c r="R112" s="2">
        <f t="shared" si="40"/>
        <v>4.6000000000000006E-2</v>
      </c>
      <c r="S112" s="2">
        <f t="shared" si="41"/>
        <v>-3.6666666666666666E-3</v>
      </c>
      <c r="U112" s="2">
        <f t="shared" si="27"/>
        <v>1.2024048096192388E-2</v>
      </c>
      <c r="V112" s="2">
        <f t="shared" si="28"/>
        <v>1.6733601070950471E-3</v>
      </c>
      <c r="W112" s="2">
        <f t="shared" si="29"/>
        <v>1.6852039096730701E-3</v>
      </c>
      <c r="X112" s="2">
        <f t="shared" si="30"/>
        <v>1.362578929877036E-2</v>
      </c>
      <c r="Y112" s="2">
        <f t="shared" si="31"/>
        <v>-3.2175032175032158E-4</v>
      </c>
      <c r="Z112" s="2">
        <f t="shared" si="32"/>
        <v>3.1836994587710905E-3</v>
      </c>
      <c r="AA112" s="2">
        <f t="shared" si="33"/>
        <v>4.5954045954045966E-2</v>
      </c>
      <c r="AB112" s="2">
        <f t="shared" si="34"/>
        <v>-3.6593479707252153E-3</v>
      </c>
    </row>
    <row r="113" spans="1:28" x14ac:dyDescent="0.2">
      <c r="A113" t="s">
        <v>130</v>
      </c>
      <c r="B113" s="1" t="s">
        <v>131</v>
      </c>
      <c r="C113">
        <f>VLOOKUP($B113,gdp_cont!$A$2:$I$21,2,FALSE)</f>
        <v>-1.4E-2</v>
      </c>
      <c r="D113">
        <f>VLOOKUP($B113,gdp_cont!$A$2:$I$21,3,FALSE)</f>
        <v>7.0000000000000001E-3</v>
      </c>
      <c r="E113">
        <f>VLOOKUP($B113,gdp_cont!$A$2:$I$21,4,FALSE)</f>
        <v>-0.02</v>
      </c>
      <c r="F113">
        <f>VLOOKUP($B113,gdp_cont!$A$2:$I$21,5,FALSE)</f>
        <v>1.4E-2</v>
      </c>
      <c r="G113">
        <f>VLOOKUP($B113,gdp_cont!$A$2:$I$21,6,FALSE)</f>
        <v>4.0000000000000001E-3</v>
      </c>
      <c r="H113">
        <f>VLOOKUP($B113,gdp_cont!$A$2:$I$21,7,FALSE)</f>
        <v>-2E-3</v>
      </c>
      <c r="I113">
        <f>VLOOKUP($B113,gdp_cont!$A$2:$I$21,8,FALSE)</f>
        <v>-5.5E-2</v>
      </c>
      <c r="J113">
        <f>VLOOKUP($B113,gdp_cont!$A$2:$I$21,9,FALSE)</f>
        <v>-6.0000000000000001E-3</v>
      </c>
      <c r="L113" s="2">
        <f t="shared" si="42"/>
        <v>-1.4E-2</v>
      </c>
      <c r="M113" s="2">
        <f t="shared" si="35"/>
        <v>7.0000000000000001E-3</v>
      </c>
      <c r="N113" s="2">
        <f t="shared" si="36"/>
        <v>-0.02</v>
      </c>
      <c r="O113" s="2">
        <f t="shared" si="37"/>
        <v>1.4E-2</v>
      </c>
      <c r="P113" s="2">
        <f t="shared" si="38"/>
        <v>4.0000000000000001E-3</v>
      </c>
      <c r="Q113" s="2">
        <f t="shared" si="39"/>
        <v>-2E-3</v>
      </c>
      <c r="R113" s="2">
        <f t="shared" si="40"/>
        <v>-5.5E-2</v>
      </c>
      <c r="S113" s="2">
        <f t="shared" si="41"/>
        <v>-6.0000000000000001E-3</v>
      </c>
      <c r="U113" s="2">
        <f t="shared" si="27"/>
        <v>-1.4028056112224456E-2</v>
      </c>
      <c r="V113" s="2">
        <f t="shared" si="28"/>
        <v>7.0281124497991966E-3</v>
      </c>
      <c r="W113" s="2">
        <f t="shared" si="29"/>
        <v>-2.0222446916076837E-2</v>
      </c>
      <c r="X113" s="2">
        <f t="shared" si="30"/>
        <v>1.3958125623130613E-2</v>
      </c>
      <c r="Y113" s="2">
        <f t="shared" si="31"/>
        <v>3.8610038610038594E-3</v>
      </c>
      <c r="Z113" s="2">
        <f t="shared" si="32"/>
        <v>-1.9102196752626541E-3</v>
      </c>
      <c r="AA113" s="2">
        <f t="shared" si="33"/>
        <v>-5.4945054945054951E-2</v>
      </c>
      <c r="AB113" s="2">
        <f t="shared" si="34"/>
        <v>-5.988023952095807E-3</v>
      </c>
    </row>
    <row r="115" spans="1:28" x14ac:dyDescent="0.2">
      <c r="C115" s="2">
        <f>SUM(C2:C113)</f>
        <v>9.3610000000000042</v>
      </c>
      <c r="D115" s="2">
        <f t="shared" ref="C115:J115" si="43">SUM(D2:D113)</f>
        <v>7.2670000000000012</v>
      </c>
      <c r="E115" s="2">
        <f t="shared" si="43"/>
        <v>0.1599999999999997</v>
      </c>
      <c r="F115" s="2">
        <f t="shared" si="43"/>
        <v>8.0299999999999958</v>
      </c>
      <c r="G115" s="2">
        <f t="shared" si="43"/>
        <v>7.3849999999999962</v>
      </c>
      <c r="H115" s="2">
        <f t="shared" si="43"/>
        <v>0.12999999999999814</v>
      </c>
      <c r="I115" s="2">
        <f t="shared" si="43"/>
        <v>19.135000000000026</v>
      </c>
      <c r="J115" s="2">
        <f t="shared" si="43"/>
        <v>2.1140000000000061</v>
      </c>
      <c r="L115" s="2">
        <f>SUM(L2:L113)</f>
        <v>0.99799999999999955</v>
      </c>
      <c r="M115" s="2">
        <f t="shared" ref="M115:S115" si="44">SUM(M2:M113)</f>
        <v>0.996</v>
      </c>
      <c r="N115" s="2">
        <f t="shared" si="44"/>
        <v>0.98900000000000032</v>
      </c>
      <c r="O115" s="2">
        <f t="shared" si="44"/>
        <v>1.0029999999999997</v>
      </c>
      <c r="P115" s="2">
        <f t="shared" si="44"/>
        <v>1.0360000000000005</v>
      </c>
      <c r="Q115" s="2">
        <f t="shared" si="44"/>
        <v>1.0470000000000006</v>
      </c>
      <c r="R115" s="2">
        <f t="shared" si="44"/>
        <v>1.0009999999999999</v>
      </c>
      <c r="S115" s="2">
        <f t="shared" si="44"/>
        <v>1.0020000000000002</v>
      </c>
      <c r="U115" s="2">
        <f>SUM(U2:U113)</f>
        <v>1.0000000000000007</v>
      </c>
      <c r="V115" s="2">
        <f t="shared" ref="V115:AB115" si="45">SUM(V2:V113)</f>
        <v>1.0000000000000002</v>
      </c>
      <c r="W115" s="2">
        <f t="shared" si="45"/>
        <v>0.99999999999999922</v>
      </c>
      <c r="X115" s="2">
        <f t="shared" si="45"/>
        <v>0.99999999999999944</v>
      </c>
      <c r="Y115" s="2">
        <f t="shared" si="45"/>
        <v>0.99999999999999978</v>
      </c>
      <c r="Z115" s="2">
        <f t="shared" si="45"/>
        <v>0.99999999999999989</v>
      </c>
      <c r="AA115" s="2">
        <f t="shared" si="45"/>
        <v>1.0000000000000007</v>
      </c>
      <c r="AB115" s="2">
        <f t="shared" si="45"/>
        <v>0.99999999999999989</v>
      </c>
    </row>
  </sheetData>
  <conditionalFormatting sqref="L2:S113 U2:AB113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gdp_cont</vt:lpstr>
      <vt:lpstr>sector_to_sic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Phillpotts [ee21ap]</dc:creator>
  <cp:lastModifiedBy>Alec Phillpotts</cp:lastModifiedBy>
  <dcterms:created xsi:type="dcterms:W3CDTF">2025-09-16T16:11:02Z</dcterms:created>
  <dcterms:modified xsi:type="dcterms:W3CDTF">2025-09-18T10:44:04Z</dcterms:modified>
</cp:coreProperties>
</file>